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hD\SoftwareX\"/>
    </mc:Choice>
  </mc:AlternateContent>
  <xr:revisionPtr revIDLastSave="0" documentId="13_ncr:1_{A283222A-8DF2-4FF0-A6EF-2E0244ED5E06}" xr6:coauthVersionLast="47" xr6:coauthVersionMax="47" xr10:uidLastSave="{00000000-0000-0000-0000-000000000000}"/>
  <bookViews>
    <workbookView xWindow="28680" yWindow="-120" windowWidth="29040" windowHeight="15840" xr2:uid="{2397F592-6572-4C4C-A77E-0A3BD1CDFC9C}"/>
  </bookViews>
  <sheets>
    <sheet name="Sheet1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1" l="1" a="1"/>
  <c r="S3" i="1" s="1"/>
  <c r="S4" i="1" a="1"/>
  <c r="S4" i="1" s="1"/>
  <c r="S5" i="1" a="1"/>
  <c r="S5" i="1" s="1"/>
  <c r="S6" i="1" a="1"/>
  <c r="S6" i="1" s="1"/>
  <c r="S7" i="1" a="1"/>
  <c r="S7" i="1" s="1"/>
  <c r="S8" i="1" a="1"/>
  <c r="S8" i="1" s="1"/>
  <c r="S9" i="1" a="1"/>
  <c r="S9" i="1" s="1"/>
  <c r="S10" i="1" a="1"/>
  <c r="S10" i="1" s="1"/>
  <c r="S11" i="1" a="1"/>
  <c r="S11" i="1" s="1"/>
  <c r="S12" i="1" a="1"/>
  <c r="S12" i="1" s="1"/>
  <c r="S13" i="1" a="1"/>
  <c r="S13" i="1" s="1"/>
  <c r="S14" i="1" a="1"/>
  <c r="S14" i="1" s="1"/>
  <c r="S15" i="1" a="1"/>
  <c r="S15" i="1" s="1"/>
  <c r="S16" i="1" a="1"/>
  <c r="S16" i="1" s="1"/>
  <c r="S17" i="1" a="1"/>
  <c r="S17" i="1" s="1"/>
  <c r="S18" i="1" a="1"/>
  <c r="S18" i="1" s="1"/>
  <c r="S19" i="1" a="1"/>
  <c r="S19" i="1" s="1"/>
  <c r="S20" i="1" a="1"/>
  <c r="S20" i="1" s="1"/>
  <c r="S21" i="1" a="1"/>
  <c r="S21" i="1" s="1"/>
  <c r="S22" i="1" a="1"/>
  <c r="S22" i="1" s="1"/>
  <c r="S23" i="1" a="1"/>
  <c r="S23" i="1" s="1"/>
  <c r="S24" i="1" a="1"/>
  <c r="S24" i="1" s="1"/>
  <c r="S25" i="1" a="1"/>
  <c r="S25" i="1" s="1"/>
  <c r="S26" i="1" a="1"/>
  <c r="S26" i="1" s="1"/>
  <c r="S27" i="1" a="1"/>
  <c r="S27" i="1" s="1"/>
  <c r="S28" i="1" a="1"/>
  <c r="S28" i="1" s="1"/>
  <c r="S29" i="1" a="1"/>
  <c r="S29" i="1" s="1"/>
  <c r="S30" i="1" a="1"/>
  <c r="S30" i="1" s="1"/>
  <c r="S31" i="1" a="1"/>
  <c r="S31" i="1" s="1"/>
  <c r="S32" i="1" a="1"/>
  <c r="S32" i="1" s="1"/>
  <c r="S33" i="1" a="1"/>
  <c r="S33" i="1" s="1"/>
  <c r="S34" i="1" a="1"/>
  <c r="S34" i="1" s="1"/>
  <c r="S35" i="1" a="1"/>
  <c r="S35" i="1" s="1"/>
  <c r="S36" i="1" a="1"/>
  <c r="S36" i="1" s="1"/>
  <c r="S37" i="1" a="1"/>
  <c r="S37" i="1" s="1"/>
  <c r="S38" i="1" a="1"/>
  <c r="S38" i="1" s="1"/>
  <c r="S39" i="1" a="1"/>
  <c r="S39" i="1" s="1"/>
  <c r="S40" i="1" a="1"/>
  <c r="S40" i="1" s="1"/>
  <c r="S41" i="1" a="1"/>
  <c r="S41" i="1" s="1"/>
  <c r="S42" i="1" a="1"/>
  <c r="S42" i="1" s="1"/>
  <c r="S43" i="1" a="1"/>
  <c r="S43" i="1" s="1"/>
  <c r="S44" i="1" a="1"/>
  <c r="S44" i="1" s="1"/>
  <c r="S45" i="1" a="1"/>
  <c r="S45" i="1" s="1"/>
  <c r="S46" i="1" a="1"/>
  <c r="S46" i="1" s="1"/>
  <c r="S47" i="1" a="1"/>
  <c r="S47" i="1" s="1"/>
  <c r="S48" i="1" a="1"/>
  <c r="S48" i="1" s="1"/>
  <c r="S49" i="1" a="1"/>
  <c r="S49" i="1" s="1"/>
  <c r="S50" i="1" a="1"/>
  <c r="S50" i="1" s="1"/>
  <c r="S51" i="1" a="1"/>
  <c r="S51" i="1" s="1"/>
  <c r="S52" i="1" a="1"/>
  <c r="S52" i="1" s="1"/>
  <c r="S53" i="1" a="1"/>
  <c r="S53" i="1" s="1"/>
  <c r="S54" i="1" a="1"/>
  <c r="S54" i="1" s="1"/>
  <c r="S55" i="1" a="1"/>
  <c r="S55" i="1" s="1"/>
  <c r="S56" i="1" a="1"/>
  <c r="S56" i="1" s="1"/>
  <c r="S57" i="1" a="1"/>
  <c r="S57" i="1" s="1"/>
  <c r="S58" i="1" a="1"/>
  <c r="S58" i="1" s="1"/>
  <c r="S59" i="1" a="1"/>
  <c r="S59" i="1" s="1"/>
  <c r="S60" i="1" a="1"/>
  <c r="S60" i="1" s="1"/>
  <c r="S61" i="1" a="1"/>
  <c r="S61" i="1" s="1"/>
  <c r="S62" i="1" a="1"/>
  <c r="S62" i="1" s="1"/>
  <c r="S63" i="1" a="1"/>
  <c r="S63" i="1" s="1"/>
  <c r="S64" i="1" a="1"/>
  <c r="S64" i="1" s="1"/>
  <c r="S65" i="1" a="1"/>
  <c r="S65" i="1" s="1"/>
  <c r="S66" i="1" a="1"/>
  <c r="S66" i="1" s="1"/>
  <c r="S67" i="1" a="1"/>
  <c r="S67" i="1" s="1"/>
  <c r="S68" i="1" a="1"/>
  <c r="S68" i="1" s="1"/>
  <c r="S69" i="1" a="1"/>
  <c r="S69" i="1" s="1"/>
  <c r="S70" i="1" a="1"/>
  <c r="S70" i="1" s="1"/>
  <c r="S71" i="1" a="1"/>
  <c r="S71" i="1" s="1"/>
  <c r="S72" i="1" a="1"/>
  <c r="S72" i="1" s="1"/>
  <c r="S73" i="1" a="1"/>
  <c r="S73" i="1" s="1"/>
  <c r="S74" i="1" a="1"/>
  <c r="S74" i="1" s="1"/>
  <c r="S75" i="1" a="1"/>
  <c r="S75" i="1" s="1"/>
  <c r="S76" i="1" a="1"/>
  <c r="S76" i="1" s="1"/>
  <c r="S77" i="1" a="1"/>
  <c r="S77" i="1" s="1"/>
  <c r="S78" i="1" a="1"/>
  <c r="S78" i="1" s="1"/>
  <c r="S79" i="1" a="1"/>
  <c r="S79" i="1" s="1"/>
  <c r="S80" i="1" a="1"/>
  <c r="S80" i="1" s="1"/>
  <c r="S81" i="1" a="1"/>
  <c r="S81" i="1" s="1"/>
  <c r="S82" i="1" a="1"/>
  <c r="S82" i="1" s="1"/>
  <c r="S83" i="1" a="1"/>
  <c r="S83" i="1" s="1"/>
  <c r="S84" i="1" a="1"/>
  <c r="S84" i="1" s="1"/>
  <c r="S85" i="1" a="1"/>
  <c r="S85" i="1" s="1"/>
  <c r="S86" i="1" a="1"/>
  <c r="S86" i="1" s="1"/>
  <c r="S87" i="1" a="1"/>
  <c r="S87" i="1" s="1"/>
  <c r="S88" i="1" a="1"/>
  <c r="S88" i="1" s="1"/>
  <c r="S89" i="1" a="1"/>
  <c r="S89" i="1" s="1"/>
  <c r="S90" i="1" a="1"/>
  <c r="S90" i="1" s="1"/>
  <c r="S91" i="1" a="1"/>
  <c r="S91" i="1" s="1"/>
  <c r="S92" i="1" a="1"/>
  <c r="S92" i="1" s="1"/>
  <c r="S93" i="1" a="1"/>
  <c r="S93" i="1" s="1"/>
  <c r="S94" i="1" a="1"/>
  <c r="S94" i="1" s="1"/>
  <c r="S95" i="1" a="1"/>
  <c r="S95" i="1" s="1"/>
  <c r="S96" i="1" a="1"/>
  <c r="S96" i="1" s="1"/>
  <c r="S97" i="1" a="1"/>
  <c r="S97" i="1" s="1"/>
  <c r="S98" i="1" a="1"/>
  <c r="S98" i="1" s="1"/>
  <c r="S99" i="1" a="1"/>
  <c r="S99" i="1" s="1"/>
  <c r="S100" i="1" a="1"/>
  <c r="S100" i="1" s="1"/>
  <c r="S101" i="1" a="1"/>
  <c r="S101" i="1" s="1"/>
  <c r="S102" i="1" a="1"/>
  <c r="S102" i="1" s="1"/>
  <c r="S2" i="1" a="1"/>
  <c r="S2" i="1" s="1"/>
  <c r="J3" i="1" a="1"/>
  <c r="J3" i="1" s="1"/>
  <c r="J4" i="1" a="1"/>
  <c r="J4" i="1" s="1"/>
  <c r="J5" i="1" a="1"/>
  <c r="J5" i="1" s="1"/>
  <c r="J6" i="1" a="1"/>
  <c r="J6" i="1" s="1"/>
  <c r="J7" i="1" a="1"/>
  <c r="J7" i="1" s="1"/>
  <c r="J8" i="1" a="1"/>
  <c r="J8" i="1" s="1"/>
  <c r="J9" i="1" a="1"/>
  <c r="J9" i="1" s="1"/>
  <c r="J10" i="1" a="1"/>
  <c r="J10" i="1" s="1"/>
  <c r="J11" i="1" a="1"/>
  <c r="J11" i="1" s="1"/>
  <c r="J12" i="1" a="1"/>
  <c r="J12" i="1" s="1"/>
  <c r="J13" i="1" a="1"/>
  <c r="J13" i="1" s="1"/>
  <c r="J14" i="1" a="1"/>
  <c r="J14" i="1" s="1"/>
  <c r="J15" i="1" a="1"/>
  <c r="J15" i="1" s="1"/>
  <c r="J16" i="1" a="1"/>
  <c r="J16" i="1" s="1"/>
  <c r="J17" i="1" a="1"/>
  <c r="J17" i="1" s="1"/>
  <c r="J18" i="1" a="1"/>
  <c r="J18" i="1" s="1"/>
  <c r="J19" i="1" a="1"/>
  <c r="J19" i="1" s="1"/>
  <c r="J20" i="1" a="1"/>
  <c r="J20" i="1" s="1"/>
  <c r="J21" i="1" a="1"/>
  <c r="J21" i="1" s="1"/>
  <c r="J22" i="1" a="1"/>
  <c r="J22" i="1" s="1"/>
  <c r="J23" i="1" a="1"/>
  <c r="J23" i="1" s="1"/>
  <c r="J24" i="1" a="1"/>
  <c r="J24" i="1" s="1"/>
  <c r="J25" i="1" a="1"/>
  <c r="J25" i="1" s="1"/>
  <c r="J26" i="1" a="1"/>
  <c r="J26" i="1" s="1"/>
  <c r="J27" i="1" a="1"/>
  <c r="J27" i="1" s="1"/>
  <c r="J28" i="1" a="1"/>
  <c r="J28" i="1" s="1"/>
  <c r="J29" i="1" a="1"/>
  <c r="J29" i="1" s="1"/>
  <c r="J30" i="1" a="1"/>
  <c r="J30" i="1" s="1"/>
  <c r="J31" i="1" a="1"/>
  <c r="J31" i="1" s="1"/>
  <c r="J32" i="1" a="1"/>
  <c r="J32" i="1" s="1"/>
  <c r="J33" i="1" a="1"/>
  <c r="J33" i="1" s="1"/>
  <c r="J34" i="1" a="1"/>
  <c r="J34" i="1" s="1"/>
  <c r="J35" i="1" a="1"/>
  <c r="J35" i="1" s="1"/>
  <c r="J36" i="1" a="1"/>
  <c r="J36" i="1" s="1"/>
  <c r="J37" i="1" a="1"/>
  <c r="J37" i="1" s="1"/>
  <c r="J38" i="1" a="1"/>
  <c r="J38" i="1" s="1"/>
  <c r="J39" i="1" a="1"/>
  <c r="J39" i="1" s="1"/>
  <c r="J40" i="1" a="1"/>
  <c r="J40" i="1" s="1"/>
  <c r="J41" i="1" a="1"/>
  <c r="J41" i="1" s="1"/>
  <c r="J42" i="1" a="1"/>
  <c r="J42" i="1" s="1"/>
  <c r="J43" i="1" a="1"/>
  <c r="J43" i="1" s="1"/>
  <c r="J44" i="1" a="1"/>
  <c r="J44" i="1" s="1"/>
  <c r="J45" i="1" a="1"/>
  <c r="J45" i="1" s="1"/>
  <c r="J46" i="1" a="1"/>
  <c r="J46" i="1" s="1"/>
  <c r="J47" i="1" a="1"/>
  <c r="J47" i="1" s="1"/>
  <c r="J48" i="1" a="1"/>
  <c r="J48" i="1" s="1"/>
  <c r="J49" i="1" a="1"/>
  <c r="J49" i="1" s="1"/>
  <c r="J50" i="1" a="1"/>
  <c r="J50" i="1" s="1"/>
  <c r="J51" i="1" a="1"/>
  <c r="J51" i="1" s="1"/>
  <c r="J52" i="1" a="1"/>
  <c r="J52" i="1" s="1"/>
  <c r="J53" i="1" a="1"/>
  <c r="J53" i="1" s="1"/>
  <c r="J54" i="1" a="1"/>
  <c r="J54" i="1" s="1"/>
  <c r="J55" i="1" a="1"/>
  <c r="J55" i="1" s="1"/>
  <c r="J56" i="1" a="1"/>
  <c r="J56" i="1" s="1"/>
  <c r="J57" i="1" a="1"/>
  <c r="J57" i="1" s="1"/>
  <c r="J58" i="1" a="1"/>
  <c r="J58" i="1" s="1"/>
  <c r="J59" i="1" a="1"/>
  <c r="J59" i="1" s="1"/>
  <c r="J60" i="1" a="1"/>
  <c r="J60" i="1" s="1"/>
  <c r="J61" i="1" a="1"/>
  <c r="J61" i="1" s="1"/>
  <c r="J62" i="1" a="1"/>
  <c r="J62" i="1" s="1"/>
  <c r="J63" i="1" a="1"/>
  <c r="J63" i="1" s="1"/>
  <c r="J64" i="1" a="1"/>
  <c r="J64" i="1" s="1"/>
  <c r="J65" i="1" a="1"/>
  <c r="J65" i="1" s="1"/>
  <c r="J66" i="1" a="1"/>
  <c r="J66" i="1" s="1"/>
  <c r="J67" i="1" a="1"/>
  <c r="J67" i="1" s="1"/>
  <c r="J68" i="1" a="1"/>
  <c r="J68" i="1" s="1"/>
  <c r="J69" i="1" a="1"/>
  <c r="J69" i="1" s="1"/>
  <c r="J70" i="1" a="1"/>
  <c r="J70" i="1" s="1"/>
  <c r="J71" i="1" a="1"/>
  <c r="J71" i="1" s="1"/>
  <c r="J72" i="1" a="1"/>
  <c r="J72" i="1" s="1"/>
  <c r="J73" i="1" a="1"/>
  <c r="J73" i="1" s="1"/>
  <c r="J74" i="1" a="1"/>
  <c r="J74" i="1" s="1"/>
  <c r="J75" i="1" a="1"/>
  <c r="J75" i="1" s="1"/>
  <c r="J76" i="1" a="1"/>
  <c r="J76" i="1" s="1"/>
  <c r="J77" i="1" a="1"/>
  <c r="J77" i="1" s="1"/>
  <c r="J78" i="1" a="1"/>
  <c r="J78" i="1" s="1"/>
  <c r="J79" i="1" a="1"/>
  <c r="J79" i="1" s="1"/>
  <c r="J80" i="1" a="1"/>
  <c r="J80" i="1" s="1"/>
  <c r="J81" i="1" a="1"/>
  <c r="J81" i="1" s="1"/>
  <c r="J82" i="1" a="1"/>
  <c r="J82" i="1" s="1"/>
  <c r="J83" i="1" a="1"/>
  <c r="J83" i="1" s="1"/>
  <c r="J84" i="1" a="1"/>
  <c r="J84" i="1" s="1"/>
  <c r="J85" i="1" a="1"/>
  <c r="J85" i="1" s="1"/>
  <c r="J86" i="1" a="1"/>
  <c r="J86" i="1" s="1"/>
  <c r="J87" i="1" a="1"/>
  <c r="J87" i="1" s="1"/>
  <c r="J88" i="1" a="1"/>
  <c r="J88" i="1" s="1"/>
  <c r="J89" i="1" a="1"/>
  <c r="J89" i="1" s="1"/>
  <c r="J90" i="1" a="1"/>
  <c r="J90" i="1" s="1"/>
  <c r="J91" i="1" a="1"/>
  <c r="J91" i="1" s="1"/>
  <c r="J92" i="1" a="1"/>
  <c r="J92" i="1" s="1"/>
  <c r="J93" i="1" a="1"/>
  <c r="J93" i="1" s="1"/>
  <c r="J94" i="1" a="1"/>
  <c r="J94" i="1" s="1"/>
  <c r="J95" i="1" a="1"/>
  <c r="J95" i="1" s="1"/>
  <c r="J96" i="1" a="1"/>
  <c r="J96" i="1" s="1"/>
  <c r="J97" i="1" a="1"/>
  <c r="J97" i="1" s="1"/>
  <c r="J98" i="1" a="1"/>
  <c r="J98" i="1" s="1"/>
  <c r="J99" i="1" a="1"/>
  <c r="J99" i="1" s="1"/>
  <c r="J100" i="1" a="1"/>
  <c r="J100" i="1" s="1"/>
  <c r="J101" i="1" a="1"/>
  <c r="J101" i="1" s="1"/>
  <c r="J102" i="1" a="1"/>
  <c r="J102" i="1" s="1"/>
  <c r="J2" i="1" a="1"/>
  <c r="J2" i="1" s="1"/>
  <c r="B3" i="1" a="1"/>
  <c r="B3" i="1" s="1"/>
  <c r="B4" i="1" a="1"/>
  <c r="B4" i="1" s="1"/>
  <c r="B5" i="1" a="1"/>
  <c r="B5" i="1" s="1"/>
  <c r="B6" i="1" a="1"/>
  <c r="B6" i="1" s="1"/>
  <c r="B7" i="1" a="1"/>
  <c r="B7" i="1" s="1"/>
  <c r="B8" i="1" a="1"/>
  <c r="B8" i="1" s="1"/>
  <c r="B9" i="1" a="1"/>
  <c r="B9" i="1" s="1"/>
  <c r="B10" i="1" a="1"/>
  <c r="B10" i="1" s="1"/>
  <c r="B11" i="1" a="1"/>
  <c r="B11" i="1" s="1"/>
  <c r="B12" i="1" a="1"/>
  <c r="B12" i="1" s="1"/>
  <c r="B13" i="1" a="1"/>
  <c r="B13" i="1" s="1"/>
  <c r="B14" i="1" a="1"/>
  <c r="B14" i="1" s="1"/>
  <c r="B15" i="1" a="1"/>
  <c r="B15" i="1" s="1"/>
  <c r="B16" i="1" a="1"/>
  <c r="B16" i="1" s="1"/>
  <c r="B17" i="1" a="1"/>
  <c r="B17" i="1" s="1"/>
  <c r="B18" i="1" a="1"/>
  <c r="B18" i="1" s="1"/>
  <c r="B19" i="1" a="1"/>
  <c r="B19" i="1" s="1"/>
  <c r="B20" i="1" a="1"/>
  <c r="B20" i="1" s="1"/>
  <c r="B21" i="1" a="1"/>
  <c r="B21" i="1" s="1"/>
  <c r="B22" i="1" a="1"/>
  <c r="B22" i="1" s="1"/>
  <c r="B23" i="1" a="1"/>
  <c r="B23" i="1" s="1"/>
  <c r="B24" i="1" a="1"/>
  <c r="B24" i="1" s="1"/>
  <c r="B25" i="1" a="1"/>
  <c r="B25" i="1" s="1"/>
  <c r="B26" i="1" a="1"/>
  <c r="B26" i="1" s="1"/>
  <c r="B27" i="1" a="1"/>
  <c r="B27" i="1" s="1"/>
  <c r="B28" i="1" a="1"/>
  <c r="B28" i="1" s="1"/>
  <c r="B29" i="1" a="1"/>
  <c r="B29" i="1" s="1"/>
  <c r="B30" i="1" a="1"/>
  <c r="B30" i="1" s="1"/>
  <c r="B31" i="1" a="1"/>
  <c r="B31" i="1" s="1"/>
  <c r="B32" i="1" a="1"/>
  <c r="B32" i="1" s="1"/>
  <c r="B33" i="1" a="1"/>
  <c r="B33" i="1" s="1"/>
  <c r="B34" i="1" a="1"/>
  <c r="B34" i="1" s="1"/>
  <c r="B35" i="1" a="1"/>
  <c r="B35" i="1" s="1"/>
  <c r="B36" i="1" a="1"/>
  <c r="B36" i="1" s="1"/>
  <c r="B37" i="1" a="1"/>
  <c r="B37" i="1" s="1"/>
  <c r="B38" i="1" a="1"/>
  <c r="B38" i="1" s="1"/>
  <c r="B39" i="1" a="1"/>
  <c r="B39" i="1" s="1"/>
  <c r="B40" i="1" a="1"/>
  <c r="B40" i="1" s="1"/>
  <c r="B41" i="1" a="1"/>
  <c r="B41" i="1" s="1"/>
  <c r="B42" i="1" a="1"/>
  <c r="B42" i="1" s="1"/>
  <c r="B43" i="1" a="1"/>
  <c r="B43" i="1" s="1"/>
  <c r="B44" i="1" a="1"/>
  <c r="B44" i="1" s="1"/>
  <c r="B45" i="1" a="1"/>
  <c r="B45" i="1" s="1"/>
  <c r="B46" i="1" a="1"/>
  <c r="B46" i="1" s="1"/>
  <c r="B47" i="1" a="1"/>
  <c r="B47" i="1" s="1"/>
  <c r="B48" i="1" a="1"/>
  <c r="B48" i="1" s="1"/>
  <c r="B49" i="1" a="1"/>
  <c r="B49" i="1" s="1"/>
  <c r="B50" i="1" a="1"/>
  <c r="B50" i="1" s="1"/>
  <c r="B51" i="1" a="1"/>
  <c r="B51" i="1" s="1"/>
  <c r="B52" i="1" a="1"/>
  <c r="B52" i="1" s="1"/>
  <c r="B53" i="1" a="1"/>
  <c r="B53" i="1" s="1"/>
  <c r="B54" i="1" a="1"/>
  <c r="B54" i="1" s="1"/>
  <c r="B55" i="1" a="1"/>
  <c r="B55" i="1" s="1"/>
  <c r="B56" i="1" a="1"/>
  <c r="B56" i="1" s="1"/>
  <c r="B57" i="1" a="1"/>
  <c r="B57" i="1" s="1"/>
  <c r="B58" i="1" a="1"/>
  <c r="B58" i="1" s="1"/>
  <c r="B59" i="1" a="1"/>
  <c r="B59" i="1" s="1"/>
  <c r="B60" i="1" a="1"/>
  <c r="B60" i="1" s="1"/>
  <c r="B61" i="1" a="1"/>
  <c r="B61" i="1" s="1"/>
  <c r="B62" i="1" a="1"/>
  <c r="B62" i="1" s="1"/>
  <c r="B63" i="1" a="1"/>
  <c r="B63" i="1" s="1"/>
  <c r="B64" i="1" a="1"/>
  <c r="B64" i="1" s="1"/>
  <c r="B65" i="1" a="1"/>
  <c r="B65" i="1" s="1"/>
  <c r="B66" i="1" a="1"/>
  <c r="B66" i="1" s="1"/>
  <c r="B67" i="1" a="1"/>
  <c r="B67" i="1" s="1"/>
  <c r="B68" i="1" a="1"/>
  <c r="B68" i="1" s="1"/>
  <c r="B69" i="1" a="1"/>
  <c r="B69" i="1" s="1"/>
  <c r="B70" i="1" a="1"/>
  <c r="B70" i="1" s="1"/>
  <c r="B71" i="1" a="1"/>
  <c r="B71" i="1" s="1"/>
  <c r="B72" i="1" a="1"/>
  <c r="B72" i="1" s="1"/>
  <c r="B73" i="1" a="1"/>
  <c r="B73" i="1" s="1"/>
  <c r="B74" i="1" a="1"/>
  <c r="B74" i="1" s="1"/>
  <c r="B75" i="1" a="1"/>
  <c r="B75" i="1" s="1"/>
  <c r="B76" i="1" a="1"/>
  <c r="B76" i="1" s="1"/>
  <c r="B77" i="1" a="1"/>
  <c r="B77" i="1" s="1"/>
  <c r="B78" i="1" a="1"/>
  <c r="B78" i="1" s="1"/>
  <c r="B79" i="1" a="1"/>
  <c r="B79" i="1" s="1"/>
  <c r="B80" i="1" a="1"/>
  <c r="B80" i="1" s="1"/>
  <c r="B81" i="1" a="1"/>
  <c r="B81" i="1" s="1"/>
  <c r="B82" i="1" a="1"/>
  <c r="B82" i="1" s="1"/>
  <c r="B83" i="1" a="1"/>
  <c r="B83" i="1" s="1"/>
  <c r="B84" i="1" a="1"/>
  <c r="B84" i="1" s="1"/>
  <c r="B85" i="1" a="1"/>
  <c r="B85" i="1" s="1"/>
  <c r="B86" i="1" a="1"/>
  <c r="B86" i="1" s="1"/>
  <c r="B87" i="1" a="1"/>
  <c r="B87" i="1" s="1"/>
  <c r="B88" i="1" a="1"/>
  <c r="B88" i="1" s="1"/>
  <c r="B89" i="1" a="1"/>
  <c r="B89" i="1" s="1"/>
  <c r="B90" i="1" a="1"/>
  <c r="B90" i="1" s="1"/>
  <c r="B91" i="1" a="1"/>
  <c r="B91" i="1" s="1"/>
  <c r="B92" i="1" a="1"/>
  <c r="B92" i="1" s="1"/>
  <c r="B93" i="1" a="1"/>
  <c r="B93" i="1" s="1"/>
  <c r="B94" i="1" a="1"/>
  <c r="B94" i="1" s="1"/>
  <c r="B95" i="1" a="1"/>
  <c r="B95" i="1" s="1"/>
  <c r="B96" i="1" a="1"/>
  <c r="B96" i="1" s="1"/>
  <c r="B97" i="1" a="1"/>
  <c r="B97" i="1" s="1"/>
  <c r="B98" i="1" a="1"/>
  <c r="B98" i="1" s="1"/>
  <c r="B99" i="1" a="1"/>
  <c r="B99" i="1" s="1"/>
  <c r="B100" i="1" a="1"/>
  <c r="B100" i="1" s="1"/>
  <c r="B101" i="1" a="1"/>
  <c r="B101" i="1" s="1"/>
  <c r="B102" i="1" a="1"/>
  <c r="B102" i="1" s="1"/>
  <c r="B2" i="1" a="1"/>
  <c r="B2" i="1" s="1"/>
  <c r="AK4" i="1" a="1"/>
  <c r="AK4" i="1" s="1"/>
  <c r="AA102" i="1"/>
  <c r="AA101" i="1"/>
  <c r="AA100" i="1"/>
  <c r="AA99" i="1"/>
  <c r="AA98" i="1"/>
  <c r="AA97" i="1"/>
  <c r="AA96" i="1"/>
  <c r="AA95" i="1"/>
  <c r="AA94" i="1"/>
  <c r="AA93" i="1"/>
  <c r="AA92" i="1"/>
  <c r="AA91" i="1"/>
  <c r="AA90" i="1"/>
  <c r="AA89" i="1"/>
  <c r="AA88" i="1"/>
  <c r="AA87" i="1"/>
  <c r="AA86" i="1"/>
  <c r="AA85" i="1"/>
  <c r="AA84" i="1"/>
  <c r="AA83" i="1"/>
  <c r="AA82" i="1"/>
  <c r="AA81" i="1"/>
  <c r="AA80" i="1"/>
  <c r="AA79" i="1"/>
  <c r="AA78" i="1"/>
  <c r="AA77" i="1"/>
  <c r="AA76" i="1"/>
  <c r="AA75" i="1"/>
  <c r="AA74" i="1"/>
  <c r="AA73" i="1"/>
  <c r="AA72" i="1"/>
  <c r="AA71" i="1"/>
  <c r="AA70" i="1"/>
  <c r="AA69" i="1"/>
  <c r="AA68" i="1"/>
  <c r="AA67" i="1"/>
  <c r="AA66" i="1"/>
  <c r="AA65" i="1"/>
  <c r="AA64" i="1"/>
  <c r="AA63" i="1"/>
  <c r="AA62" i="1"/>
  <c r="AA61" i="1"/>
  <c r="AA60" i="1"/>
  <c r="AA59" i="1"/>
  <c r="AA58" i="1"/>
  <c r="AA57" i="1"/>
  <c r="AA56" i="1"/>
  <c r="AA55" i="1"/>
  <c r="AA54" i="1"/>
  <c r="AA53" i="1"/>
  <c r="AA52" i="1"/>
  <c r="AA51" i="1"/>
  <c r="AA50" i="1"/>
  <c r="AA49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<sst xmlns="http://schemas.openxmlformats.org/spreadsheetml/2006/main" count="32" uniqueCount="32">
  <si>
    <t>Tube_coil_surface_temp1</t>
  </si>
  <si>
    <t>Tube_coil_surface_temp2</t>
  </si>
  <si>
    <t>Tube_coil_surface_temp3</t>
  </si>
  <si>
    <t>Tube_coil_surface_temp4</t>
  </si>
  <si>
    <t>Tube_coil_surface_temp5</t>
  </si>
  <si>
    <t>Tube_coil_surface_temp6</t>
  </si>
  <si>
    <t>Tube_coil_surface_temp7</t>
  </si>
  <si>
    <t>Tube_coil_surface_temp8</t>
  </si>
  <si>
    <t>Temperature decrease of the mixture_1</t>
  </si>
  <si>
    <t>Temperature decrease of the mixture_2</t>
  </si>
  <si>
    <t>Temperature decrease of the mixture_3</t>
  </si>
  <si>
    <t>Temperature decrease of the mixture_4</t>
  </si>
  <si>
    <t>Temperature decrease of the mixture_5</t>
  </si>
  <si>
    <t>Temperature decrease of the mixture_6</t>
  </si>
  <si>
    <t>Temperature decrease of the mixture_7</t>
  </si>
  <si>
    <t>Temperature decrease of the mixture_8</t>
  </si>
  <si>
    <t>Temperature decrease of the mixture_9</t>
  </si>
  <si>
    <t>Temperature increase of the cooling water_1</t>
  </si>
  <si>
    <t>Temperature increase of the cooling water_2</t>
  </si>
  <si>
    <t>Temperature increase of the cooling water_3</t>
  </si>
  <si>
    <t>Temperature increase of the cooling water_4</t>
  </si>
  <si>
    <t>Temperature increase of the cooling water_5</t>
  </si>
  <si>
    <t>Temperature increase of the cooling water_6</t>
  </si>
  <si>
    <t>Temperature increase of the cooling water_7</t>
  </si>
  <si>
    <t>Temperature increase of the cooling water_8</t>
  </si>
  <si>
    <t>Temperature increase of the cooling water_9</t>
  </si>
  <si>
    <t>Condensation flow rate(Kg/min)</t>
  </si>
  <si>
    <t>Mixture  (air+vapour) flow rate, kg/h</t>
  </si>
  <si>
    <t>Vapour flow rate, kg/h</t>
  </si>
  <si>
    <t>Cooling water flow rate, l/h</t>
  </si>
  <si>
    <r>
      <t>Cooling H</t>
    </r>
    <r>
      <rPr>
        <b/>
        <vertAlign val="subscript"/>
        <sz val="11"/>
        <color theme="1"/>
        <rFont val="Aptos Narrow"/>
        <family val="2"/>
        <charset val="186"/>
        <scheme val="minor"/>
      </rPr>
      <t>2</t>
    </r>
    <r>
      <rPr>
        <b/>
        <sz val="11"/>
        <color theme="1"/>
        <rFont val="Aptos Narrow"/>
        <family val="2"/>
        <charset val="186"/>
        <scheme val="minor"/>
      </rPr>
      <t>O t</t>
    </r>
    <r>
      <rPr>
        <b/>
        <vertAlign val="subscript"/>
        <sz val="11"/>
        <color theme="1"/>
        <rFont val="Aptos Narrow"/>
        <family val="2"/>
        <charset val="186"/>
        <scheme val="minor"/>
      </rPr>
      <t>in</t>
    </r>
    <r>
      <rPr>
        <b/>
        <sz val="11"/>
        <color theme="1"/>
        <rFont val="Aptos Narrow"/>
        <family val="2"/>
        <charset val="186"/>
        <scheme val="minor"/>
      </rPr>
      <t xml:space="preserve">, </t>
    </r>
    <r>
      <rPr>
        <b/>
        <vertAlign val="superscript"/>
        <sz val="11"/>
        <color theme="1"/>
        <rFont val="Aptos Narrow"/>
        <family val="2"/>
        <charset val="186"/>
        <scheme val="minor"/>
      </rPr>
      <t>o</t>
    </r>
    <r>
      <rPr>
        <b/>
        <sz val="11"/>
        <color theme="1"/>
        <rFont val="Aptos Narrow"/>
        <family val="2"/>
        <charset val="186"/>
        <scheme val="minor"/>
      </rPr>
      <t>C</t>
    </r>
  </si>
  <si>
    <r>
      <t>Mixture t</t>
    </r>
    <r>
      <rPr>
        <b/>
        <vertAlign val="subscript"/>
        <sz val="11"/>
        <color theme="1"/>
        <rFont val="Aptos Narrow"/>
        <family val="2"/>
        <charset val="186"/>
        <scheme val="minor"/>
      </rPr>
      <t>in</t>
    </r>
    <r>
      <rPr>
        <b/>
        <sz val="11"/>
        <color theme="1"/>
        <rFont val="Aptos Narrow"/>
        <family val="2"/>
        <charset val="186"/>
        <scheme val="minor"/>
      </rPr>
      <t xml:space="preserve">, </t>
    </r>
    <r>
      <rPr>
        <b/>
        <vertAlign val="superscript"/>
        <sz val="11"/>
        <color theme="1"/>
        <rFont val="Aptos Narrow"/>
        <family val="2"/>
        <charset val="186"/>
        <scheme val="minor"/>
      </rPr>
      <t>o</t>
    </r>
    <r>
      <rPr>
        <b/>
        <sz val="11"/>
        <color theme="1"/>
        <rFont val="Aptos Narrow"/>
        <family val="2"/>
        <charset val="186"/>
        <scheme val="minor"/>
      </rPr>
      <t>C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</si>
</sst>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Aptos Narrow"/>
      <family val="2"/>
      <charset val="186"/>
      <scheme val="minor"/>
    </font>
    <font>
      <b/>
      <sz val="11"/>
      <color theme="6" tint="0.79998168889431442"/>
      <name val="Aptos Narrow"/>
      <family val="2"/>
      <scheme val="minor"/>
    </font>
    <font>
      <b/>
      <vertAlign val="subscript"/>
      <sz val="11"/>
      <color theme="1"/>
      <name val="Aptos Narrow"/>
      <family val="2"/>
      <charset val="186"/>
      <scheme val="minor"/>
    </font>
    <font>
      <b/>
      <vertAlign val="superscript"/>
      <sz val="11"/>
      <color theme="1"/>
      <name val="Aptos Narrow"/>
      <family val="2"/>
      <charset val="186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</cellXfs>
  <cellStyles count="1">
    <cellStyle name="Normal" xfId="0" builtinId="0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9" Type="http://schemas.openxmlformats.org/officeDocument/2006/relationships/externalLink" Target="externalLinks/externalLink28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53" Type="http://schemas.openxmlformats.org/officeDocument/2006/relationships/externalLink" Target="externalLinks/externalLink52.xml"/><Relationship Id="rId58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8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theme" Target="theme/theme1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sheetMetadata" Target="metadata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styles" Target="styles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Setup/Rest%20of%20the%20data/Tube%20coil%20exp/Tube%20coil%20exp/20230111/2023-01-11-1Horizon.eksp.%20eiga.xlsx" TargetMode="External"/><Relationship Id="rId2" Type="http://schemas.openxmlformats.org/officeDocument/2006/relationships/externalLinkPath" Target="file:///E:\PhD\New%20Setup\Rest%20of%20the%20data\Tube%20coil%20exp\Tube%20coil%20exp\20230111\2023-01-11-1Horizon.eksp.%20eiga.xlsx" TargetMode="External"/><Relationship Id="rId1" Type="http://schemas.openxmlformats.org/officeDocument/2006/relationships/externalLinkPath" Target="/PhD/New%20Setup/Rest%20of%20the%20data/Tube%20coil%20exp/Tube%20coil%20exp/20230111/2023-01-11-1Horizon.eksp.%20eiga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Setup/Rest%20of%20the%20data/Tube%20coil%20exp/Tube%20coil%20exp/20230111/2023-01-11-2Horizon.eksp.%20eiga.xlsx" TargetMode="External"/><Relationship Id="rId2" Type="http://schemas.openxmlformats.org/officeDocument/2006/relationships/externalLinkPath" Target="file:///E:\PhD\New%20Setup\Rest%20of%20the%20data\Tube%20coil%20exp\Tube%20coil%20exp\20230111\2023-01-11-2Horizon.eksp.%20eiga.xlsx" TargetMode="External"/><Relationship Id="rId1" Type="http://schemas.openxmlformats.org/officeDocument/2006/relationships/externalLinkPath" Target="/PhD/New%20Setup/Rest%20of%20the%20data/Tube%20coil%20exp/Tube%20coil%20exp/20230111/2023-01-11-2Horizon.eksp.%20eiga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Setup/Rest%20of%20the%20data/Tube%20coil%20exp/Tube%20coil%20exp/20230112/2023-01-12-1Horizon.eksp.%20eiga.xlsx" TargetMode="External"/><Relationship Id="rId2" Type="http://schemas.openxmlformats.org/officeDocument/2006/relationships/externalLinkPath" Target="file:///E:\PhD\New%20Setup\Rest%20of%20the%20data\Tube%20coil%20exp\Tube%20coil%20exp\20230112\2023-01-12-1Horizon.eksp.%20eiga.xlsx" TargetMode="External"/><Relationship Id="rId1" Type="http://schemas.openxmlformats.org/officeDocument/2006/relationships/externalLinkPath" Target="/PhD/New%20Setup/Rest%20of%20the%20data/Tube%20coil%20exp/Tube%20coil%20exp/20230112/2023-01-12-1Horizon.eksp.%20eiga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Setup/Rest%20of%20the%20data/Tube%20coil%20exp/Tube%20coil%20exp/20230112/2023-01-12-2Horizon.eksp.%20eiga.xlsx" TargetMode="External"/><Relationship Id="rId2" Type="http://schemas.openxmlformats.org/officeDocument/2006/relationships/externalLinkPath" Target="file:///E:\PhD\New%20Setup\Rest%20of%20the%20data\Tube%20coil%20exp\Tube%20coil%20exp\20230112\2023-01-12-2Horizon.eksp.%20eiga.xlsx" TargetMode="External"/><Relationship Id="rId1" Type="http://schemas.openxmlformats.org/officeDocument/2006/relationships/externalLinkPath" Target="/PhD/New%20Setup/Rest%20of%20the%20data/Tube%20coil%20exp/Tube%20coil%20exp/20230112/2023-01-12-2Horizon.eksp.%20eiga.xlsx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Setup/Rest%20of%20the%20data/Tube%20coil%20exp/Tube%20coil%20exp/20230113/2023-01-13Horizon.eksp.%20eiga.xlsx" TargetMode="External"/><Relationship Id="rId2" Type="http://schemas.openxmlformats.org/officeDocument/2006/relationships/externalLinkPath" Target="file:///E:\PhD\New%20Setup\Rest%20of%20the%20data\Tube%20coil%20exp\Tube%20coil%20exp\20230113\2023-01-13Horizon.eksp.%20eiga.xlsx" TargetMode="External"/><Relationship Id="rId1" Type="http://schemas.openxmlformats.org/officeDocument/2006/relationships/externalLinkPath" Target="/PhD/New%20Setup/Rest%20of%20the%20data/Tube%20coil%20exp/Tube%20coil%20exp/20230113/2023-01-13Horizon.eksp.%20eiga.xlsx" TargetMode="External"/></Relationships>
</file>

<file path=xl/externalLinks/_rels/externalLink6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Setup/Rest%20of%20the%20data/Tube%20coil%20exp/Tube%20coil%20exp/20230116/2023-01-16-Horizon.eksp.%20eiga.xlsx" TargetMode="External"/><Relationship Id="rId2" Type="http://schemas.openxmlformats.org/officeDocument/2006/relationships/externalLinkPath" Target="file:///E:\PhD\New%20Setup\Rest%20of%20the%20data\Tube%20coil%20exp\Tube%20coil%20exp\20230116\2023-01-16-Horizon.eksp.%20eiga.xlsx" TargetMode="External"/><Relationship Id="rId1" Type="http://schemas.openxmlformats.org/officeDocument/2006/relationships/externalLinkPath" Target="/PhD/New%20Setup/Rest%20of%20the%20data/Tube%20coil%20exp/Tube%20coil%20exp/20230116/2023-01-16-Horizon.eksp.%20eiga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arnival%20Stores\Downloads\2023-01-17-1-Horizon.eksp.%20eiga%20(1).xlsx" TargetMode="External"/><Relationship Id="rId1" Type="http://schemas.openxmlformats.org/officeDocument/2006/relationships/externalLinkPath" Target="file:///C:\Users\Carnival%20Stores\Downloads\2023-01-17-1-Horizon.eksp.%20eiga%20(1).xlsx" TargetMode="External"/></Relationships>
</file>

<file path=xl/externalLinks/_rels/externalLink8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Setup/Rest%20of%20the%20data/Tube%20coil%20exp/Tube%20coil%20exp/20230117/2023-01-17-2-Horizon.eksp.%20eiga.xlsx" TargetMode="External"/><Relationship Id="rId2" Type="http://schemas.openxmlformats.org/officeDocument/2006/relationships/externalLinkPath" Target="file:///E:\PhD\New%20Setup\Rest%20of%20the%20data\Tube%20coil%20exp\Tube%20coil%20exp\20230117\2023-01-17-2-Horizon.eksp.%20eiga.xlsx" TargetMode="External"/><Relationship Id="rId1" Type="http://schemas.openxmlformats.org/officeDocument/2006/relationships/externalLinkPath" Target="/PhD/New%20Setup/Rest%20of%20the%20data/Tube%20coil%20exp/Tube%20coil%20exp/20230117/2023-01-17-2-Horizon.eksp.%20eiga.xlsx" TargetMode="External"/></Relationships>
</file>

<file path=xl/externalLinks/_rels/externalLink9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Setup/Rest%20of%20the%20data/Tube%20coil%20exp/Tube%20coil%20exp/20230118/2023-01-18-Horizon.eksp.%20eiga.xlsx" TargetMode="External"/><Relationship Id="rId2" Type="http://schemas.openxmlformats.org/officeDocument/2006/relationships/externalLinkPath" Target="file:///E:\PhD\New%20Setup\Rest%20of%20the%20data\Tube%20coil%20exp\Tube%20coil%20exp\20230118\2023-01-18-Horizon.eksp.%20eiga.xlsx" TargetMode="External"/><Relationship Id="rId1" Type="http://schemas.openxmlformats.org/officeDocument/2006/relationships/externalLinkPath" Target="/PhD/New%20Setup/Rest%20of%20the%20data/Tube%20coil%20exp/Tube%20coil%20exp/20230118/2023-01-18-Horizon.eksp.%20eiga.xlsx" TargetMode="External"/></Relationships>
</file>

<file path=xl/externalLinks/_rels/externalLink10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Setup/Rest%20of%20the%20data/Tube%20coil%20exp/Tube%20coil%20exp/20230119/2023-01-19-1-Horizon.eksp.%20eiga.xlsx" TargetMode="External"/><Relationship Id="rId2" Type="http://schemas.openxmlformats.org/officeDocument/2006/relationships/externalLinkPath" Target="file:///E:\PhD\New%20Setup\Rest%20of%20the%20data\Tube%20coil%20exp\Tube%20coil%20exp\20230119\2023-01-19-1-Horizon.eksp.%20eiga.xlsx" TargetMode="External"/><Relationship Id="rId1" Type="http://schemas.openxmlformats.org/officeDocument/2006/relationships/externalLinkPath" Target="/PhD/New%20Setup/Rest%20of%20the%20data/Tube%20coil%20exp/Tube%20coil%20exp/20230119/2023-01-19-1-Horizon.eksp.%20eiga.xlsx" TargetMode="External"/></Relationships>
</file>

<file path=xl/externalLinks/_rels/externalLink11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Setup/Rest%20of%20the%20data/Tube%20coil%20exp/Tube%20coil%20exp/20230119/2023-01-19-2-Horizon.eksp.%20eiga.xlsx" TargetMode="External"/><Relationship Id="rId2" Type="http://schemas.openxmlformats.org/officeDocument/2006/relationships/externalLinkPath" Target="file:///E:\PhD\New%20Setup\Rest%20of%20the%20data\Tube%20coil%20exp\Tube%20coil%20exp\20230119\2023-01-19-2-Horizon.eksp.%20eiga.xlsx" TargetMode="External"/><Relationship Id="rId1" Type="http://schemas.openxmlformats.org/officeDocument/2006/relationships/externalLinkPath" Target="/PhD/New%20Setup/Rest%20of%20the%20data/Tube%20coil%20exp/Tube%20coil%20exp/20230119/2023-01-19-2-Horizon.eksp.%20eiga.xlsx" TargetMode="External"/></Relationships>
</file>

<file path=xl/externalLinks/_rels/externalLink12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Setup/Rest%20of%20the%20data/Tube%20coil%20exp/Tube%20coil%20exp/20230120/2023-01-20-Horizon.eksp.%20eiga.xlsx" TargetMode="External"/><Relationship Id="rId2" Type="http://schemas.openxmlformats.org/officeDocument/2006/relationships/externalLinkPath" Target="file:///E:\PhD\New%20Setup\Rest%20of%20the%20data\Tube%20coil%20exp\Tube%20coil%20exp\20230120\2023-01-20-Horizon.eksp.%20eiga.xlsx" TargetMode="External"/><Relationship Id="rId1" Type="http://schemas.openxmlformats.org/officeDocument/2006/relationships/externalLinkPath" Target="/PhD/New%20Setup/Rest%20of%20the%20data/Tube%20coil%20exp/Tube%20coil%20exp/20230120/2023-01-20-Horizon.eksp.%20eiga.xlsx" TargetMode="External"/></Relationships>
</file>

<file path=xl/externalLinks/_rels/externalLink13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Setup/Rest%20of%20the%20data/Tube%20coil%20exp/Tube%20coil%20exp/20230123/2023-01-23-1Horizon.eksp.%20eiga.xlsx" TargetMode="External"/><Relationship Id="rId2" Type="http://schemas.openxmlformats.org/officeDocument/2006/relationships/externalLinkPath" Target="file:///E:\PhD\New%20Setup\Rest%20of%20the%20data\Tube%20coil%20exp\Tube%20coil%20exp\20230123\2023-01-23-1Horizon.eksp.%20eiga.xlsx" TargetMode="External"/><Relationship Id="rId1" Type="http://schemas.openxmlformats.org/officeDocument/2006/relationships/externalLinkPath" Target="/PhD/New%20Setup/Rest%20of%20the%20data/Tube%20coil%20exp/Tube%20coil%20exp/20230123/2023-01-23-1Horizon.eksp.%20eiga.xlsx" TargetMode="External"/></Relationships>
</file>

<file path=xl/externalLinks/_rels/externalLink14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Setup/Rest%20of%20the%20data/Tube%20coil%20exp/Tube%20coil%20exp/20230123/2023-01-23-2-Horizon.eksp.%20eiga.xlsx" TargetMode="External"/><Relationship Id="rId2" Type="http://schemas.openxmlformats.org/officeDocument/2006/relationships/externalLinkPath" Target="file:///E:\PhD\New%20Setup\Rest%20of%20the%20data\Tube%20coil%20exp\Tube%20coil%20exp\20230123\2023-01-23-2-Horizon.eksp.%20eiga.xlsx" TargetMode="External"/><Relationship Id="rId1" Type="http://schemas.openxmlformats.org/officeDocument/2006/relationships/externalLinkPath" Target="/PhD/New%20Setup/Rest%20of%20the%20data/Tube%20coil%20exp/Tube%20coil%20exp/20230123/2023-01-23-2-Horizon.eksp.%20eiga.xlsx" TargetMode="External"/></Relationships>
</file>

<file path=xl/externalLinks/_rels/externalLink15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Setup/Rest%20of%20the%20data/Tube%20coil%20exp/Tube%20coil%20exp/20230124/2023-01-24-1-Horizon.eksp.%20eiga.xlsx" TargetMode="External"/><Relationship Id="rId2" Type="http://schemas.openxmlformats.org/officeDocument/2006/relationships/externalLinkPath" Target="file:///E:\PhD\New%20Setup\Rest%20of%20the%20data\Tube%20coil%20exp\Tube%20coil%20exp\20230124\2023-01-24-1-Horizon.eksp.%20eiga.xlsx" TargetMode="External"/><Relationship Id="rId1" Type="http://schemas.openxmlformats.org/officeDocument/2006/relationships/externalLinkPath" Target="/PhD/New%20Setup/Rest%20of%20the%20data/Tube%20coil%20exp/Tube%20coil%20exp/20230124/2023-01-24-1-Horizon.eksp.%20eiga.xlsx" TargetMode="External"/></Relationships>
</file>

<file path=xl/externalLinks/_rels/externalLink16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Setup/Rest%20of%20the%20data/Tube%20coil%20exp/Tube%20coil%20exp/20230124/2023-01-24-2-Horizon.eksp.%20eiga.xlsx" TargetMode="External"/><Relationship Id="rId2" Type="http://schemas.openxmlformats.org/officeDocument/2006/relationships/externalLinkPath" Target="file:///E:\PhD\New%20Setup\Rest%20of%20the%20data\Tube%20coil%20exp\Tube%20coil%20exp\20230124\2023-01-24-2-Horizon.eksp.%20eiga.xlsx" TargetMode="External"/><Relationship Id="rId1" Type="http://schemas.openxmlformats.org/officeDocument/2006/relationships/externalLinkPath" Target="/PhD/New%20Setup/Rest%20of%20the%20data/Tube%20coil%20exp/Tube%20coil%20exp/20230124/2023-01-24-2-Horizon.eksp.%20eiga.xlsx" TargetMode="External"/></Relationships>
</file>

<file path=xl/externalLinks/_rels/externalLink17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Setup/Rest%20of%20the%20data/Tube%20coil%20exp/Tube%20coil%20exp/20230125/2023-01-25-Horizon.eksp.%20eiga.xlsx" TargetMode="External"/><Relationship Id="rId2" Type="http://schemas.openxmlformats.org/officeDocument/2006/relationships/externalLinkPath" Target="file:///E:\PhD\New%20Setup\Rest%20of%20the%20data\Tube%20coil%20exp\Tube%20coil%20exp\20230125\2023-01-25-Horizon.eksp.%20eiga.xlsx" TargetMode="External"/><Relationship Id="rId1" Type="http://schemas.openxmlformats.org/officeDocument/2006/relationships/externalLinkPath" Target="/PhD/New%20Setup/Rest%20of%20the%20data/Tube%20coil%20exp/Tube%20coil%20exp/20230125/2023-01-25-Horizon.eksp.%20eiga.xlsx" TargetMode="External"/></Relationships>
</file>

<file path=xl/externalLinks/_rels/externalLink18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Setup/Rest%20of%20the%20data/Tube%20coil%20exp/Tube%20coil%20exp/20230126/2023-01-26-Horizon.eksp.%20eiga.xlsx" TargetMode="External"/><Relationship Id="rId2" Type="http://schemas.openxmlformats.org/officeDocument/2006/relationships/externalLinkPath" Target="file:///E:\PhD\New%20Setup\Rest%20of%20the%20data\Tube%20coil%20exp\Tube%20coil%20exp\20230126\2023-01-26-Horizon.eksp.%20eiga.xlsx" TargetMode="External"/><Relationship Id="rId1" Type="http://schemas.openxmlformats.org/officeDocument/2006/relationships/externalLinkPath" Target="/PhD/New%20Setup/Rest%20of%20the%20data/Tube%20coil%20exp/Tube%20coil%20exp/20230126/2023-01-26-Horizon.eksp.%20eiga.xlsx" TargetMode="External"/></Relationships>
</file>

<file path=xl/externalLinks/_rels/externalLink19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Setup/Rest%20of%20the%20data/Tube%20coil%20exp/Tube%20coil%20exp/20230127/2023-01-27-Horizon.eksp.%20eiga.xlsx" TargetMode="External"/><Relationship Id="rId2" Type="http://schemas.openxmlformats.org/officeDocument/2006/relationships/externalLinkPath" Target="file:///E:\PhD\New%20Setup\Rest%20of%20the%20data\Tube%20coil%20exp\Tube%20coil%20exp\20230127\2023-01-27-Horizon.eksp.%20eiga.xlsx" TargetMode="External"/><Relationship Id="rId1" Type="http://schemas.openxmlformats.org/officeDocument/2006/relationships/externalLinkPath" Target="/PhD/New%20Setup/Rest%20of%20the%20data/Tube%20coil%20exp/Tube%20coil%20exp/20230127/2023-01-27-Horizon.eksp.%20eiga.xlsx" TargetMode="External"/></Relationships>
</file>

<file path=xl/externalLinks/_rels/externalLink20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Setup/Rest%20of%20the%20data/Tube%20coil%20exp/Tube%20coil%20exp/20230130/2023-01-30-1-Horizon.eksp.%20eiga.xlsx" TargetMode="External"/><Relationship Id="rId2" Type="http://schemas.openxmlformats.org/officeDocument/2006/relationships/externalLinkPath" Target="file:///E:\PhD\New%20Setup\Rest%20of%20the%20data\Tube%20coil%20exp\Tube%20coil%20exp\20230130\2023-01-30-1-Horizon.eksp.%20eiga.xlsx" TargetMode="External"/><Relationship Id="rId1" Type="http://schemas.openxmlformats.org/officeDocument/2006/relationships/externalLinkPath" Target="/PhD/New%20Setup/Rest%20of%20the%20data/Tube%20coil%20exp/Tube%20coil%20exp/20230130/2023-01-30-1-Horizon.eksp.%20eiga.xlsx" TargetMode="External"/></Relationships>
</file>

<file path=xl/externalLinks/_rels/externalLink21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Setup/Rest%20of%20the%20data/Tube%20coil%20exp/Tube%20coil%20exp/20230130/2023-01-30-2-Horizon.eksp.%20eiga.xlsx" TargetMode="External"/><Relationship Id="rId2" Type="http://schemas.openxmlformats.org/officeDocument/2006/relationships/externalLinkPath" Target="file:///E:\PhD\New%20Setup\Rest%20of%20the%20data\Tube%20coil%20exp\Tube%20coil%20exp\20230130\2023-01-30-2-Horizon.eksp.%20eiga.xlsx" TargetMode="External"/><Relationship Id="rId1" Type="http://schemas.openxmlformats.org/officeDocument/2006/relationships/externalLinkPath" Target="/PhD/New%20Setup/Rest%20of%20the%20data/Tube%20coil%20exp/Tube%20coil%20exp/20230130/2023-01-30-2-Horizon.eksp.%20eiga.xlsx" TargetMode="External"/></Relationships>
</file>

<file path=xl/externalLinks/_rels/externalLink22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Setup/Rest%20of%20the%20data/Tube%20coil%20exp/Tube%20coil%20exp/20230131/2023-01-31-Horizon.eksp.%20eiga.xlsx" TargetMode="External"/><Relationship Id="rId2" Type="http://schemas.openxmlformats.org/officeDocument/2006/relationships/externalLinkPath" Target="file:///E:\PhD\New%20Setup\Rest%20of%20the%20data\Tube%20coil%20exp\Tube%20coil%20exp\20230131\2023-01-31-Horizon.eksp.%20eiga.xlsx" TargetMode="External"/><Relationship Id="rId1" Type="http://schemas.openxmlformats.org/officeDocument/2006/relationships/externalLinkPath" Target="/PhD/New%20Setup/Rest%20of%20the%20data/Tube%20coil%20exp/Tube%20coil%20exp/20230131/2023-01-31-Horizon.eksp.%20eiga.xlsx" TargetMode="External"/></Relationships>
</file>

<file path=xl/externalLinks/_rels/externalLink23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Setup/Rest%20of%20the%20data/Tube%20coil%20exp/Tube%20coil%20exp/20230201/2023-02-01-1-Horizon.eksp.%20eiga.xlsx" TargetMode="External"/><Relationship Id="rId2" Type="http://schemas.openxmlformats.org/officeDocument/2006/relationships/externalLinkPath" Target="file:///E:\PhD\New%20Setup\Rest%20of%20the%20data\Tube%20coil%20exp\Tube%20coil%20exp\20230201\2023-02-01-1-Horizon.eksp.%20eiga.xlsx" TargetMode="External"/><Relationship Id="rId1" Type="http://schemas.openxmlformats.org/officeDocument/2006/relationships/externalLinkPath" Target="/PhD/New%20Setup/Rest%20of%20the%20data/Tube%20coil%20exp/Tube%20coil%20exp/20230201/2023-02-01-1-Horizon.eksp.%20eiga.xlsx" TargetMode="External"/></Relationships>
</file>

<file path=xl/externalLinks/_rels/externalLink24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Setup/Rest%20of%20the%20data/Tube%20coil%20exp/Tube%20coil%20exp/20230201/2023-02-01-2Horizon.eksp.%20eiga.xlsx" TargetMode="External"/><Relationship Id="rId2" Type="http://schemas.openxmlformats.org/officeDocument/2006/relationships/externalLinkPath" Target="file:///E:\PhD\New%20Setup\Rest%20of%20the%20data\Tube%20coil%20exp\Tube%20coil%20exp\20230201\2023-02-01-2Horizon.eksp.%20eiga.xlsx" TargetMode="External"/><Relationship Id="rId1" Type="http://schemas.openxmlformats.org/officeDocument/2006/relationships/externalLinkPath" Target="/PhD/New%20Setup/Rest%20of%20the%20data/Tube%20coil%20exp/Tube%20coil%20exp/20230201/2023-02-01-2Horizon.eksp.%20eiga.xlsx" TargetMode="External"/></Relationships>
</file>

<file path=xl/externalLinks/_rels/externalLink25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Setup/Rest%20of%20the%20data/Tube%20coil%20exp/Tube%20coil%20exp/20230202/2023-02-02-1Horizon.eksp.%20eiga.xlsx" TargetMode="External"/><Relationship Id="rId2" Type="http://schemas.openxmlformats.org/officeDocument/2006/relationships/externalLinkPath" Target="file:///E:\PhD\New%20Setup\Rest%20of%20the%20data\Tube%20coil%20exp\Tube%20coil%20exp\20230202\2023-02-02-1Horizon.eksp.%20eiga.xlsx" TargetMode="External"/><Relationship Id="rId1" Type="http://schemas.openxmlformats.org/officeDocument/2006/relationships/externalLinkPath" Target="/PhD/New%20Setup/Rest%20of%20the%20data/Tube%20coil%20exp/Tube%20coil%20exp/20230202/2023-02-02-1Horizon.eksp.%20eiga.xlsx" TargetMode="External"/></Relationships>
</file>

<file path=xl/externalLinks/_rels/externalLink26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Setup/Rest%20of%20the%20data/Tube%20coil%20exp/Tube%20coil%20exp/20230202/2023-02-02-2-Horizon.eksp.%20eiga.xlsx" TargetMode="External"/><Relationship Id="rId2" Type="http://schemas.openxmlformats.org/officeDocument/2006/relationships/externalLinkPath" Target="file:///E:\PhD\New%20Setup\Rest%20of%20the%20data\Tube%20coil%20exp\Tube%20coil%20exp\20230202\2023-02-02-2-Horizon.eksp.%20eiga.xlsx" TargetMode="External"/><Relationship Id="rId1" Type="http://schemas.openxmlformats.org/officeDocument/2006/relationships/externalLinkPath" Target="/PhD/New%20Setup/Rest%20of%20the%20data/Tube%20coil%20exp/Tube%20coil%20exp/20230202/2023-02-02-2-Horizon.eksp.%20eiga.xlsx" TargetMode="External"/></Relationships>
</file>

<file path=xl/externalLinks/_rels/externalLink27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Setup/Rest%20of%20the%20data/Tube%20coil%20exp/Tube%20coil%20exp/20230203/2023-02-03-Horizon.eksp.%20eiga.xlsx" TargetMode="External"/><Relationship Id="rId2" Type="http://schemas.openxmlformats.org/officeDocument/2006/relationships/externalLinkPath" Target="file:///E:\PhD\New%20Setup\Rest%20of%20the%20data\Tube%20coil%20exp\Tube%20coil%20exp\20230203\2023-02-03-Horizon.eksp.%20eiga.xlsx" TargetMode="External"/><Relationship Id="rId1" Type="http://schemas.openxmlformats.org/officeDocument/2006/relationships/externalLinkPath" Target="/PhD/New%20Setup/Rest%20of%20the%20data/Tube%20coil%20exp/Tube%20coil%20exp/20230203/2023-02-03-Horizon.eksp.%20eiga.xlsx" TargetMode="External"/></Relationships>
</file>

<file path=xl/externalLinks/_rels/externalLink28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Setup/Rest%20of%20the%20data/Tube%20coil%20exp/Tube%20coil%20exp/20230206/2023-02-06-1-Horizon.eksp.%20eiga.xlsx" TargetMode="External"/><Relationship Id="rId2" Type="http://schemas.openxmlformats.org/officeDocument/2006/relationships/externalLinkPath" Target="file:///E:\PhD\New%20Setup\Rest%20of%20the%20data\Tube%20coil%20exp\Tube%20coil%20exp\20230206\2023-02-06-1-Horizon.eksp.%20eiga.xlsx" TargetMode="External"/><Relationship Id="rId1" Type="http://schemas.openxmlformats.org/officeDocument/2006/relationships/externalLinkPath" Target="/PhD/New%20Setup/Rest%20of%20the%20data/Tube%20coil%20exp/Tube%20coil%20exp/20230206/2023-02-06-1-Horizon.eksp.%20eiga.xlsx" TargetMode="External"/></Relationships>
</file>

<file path=xl/externalLinks/_rels/externalLink29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Setup/Rest%20of%20the%20data/Tube%20coil%20exp/Tube%20coil%20exp/20230206/2023-02-06-2-Horizon.eksp.%20eiga.xlsx" TargetMode="External"/><Relationship Id="rId2" Type="http://schemas.openxmlformats.org/officeDocument/2006/relationships/externalLinkPath" Target="file:///E:\PhD\New%20Setup\Rest%20of%20the%20data\Tube%20coil%20exp\Tube%20coil%20exp\20230206\2023-02-06-2-Horizon.eksp.%20eiga.xlsx" TargetMode="External"/><Relationship Id="rId1" Type="http://schemas.openxmlformats.org/officeDocument/2006/relationships/externalLinkPath" Target="/PhD/New%20Setup/Rest%20of%20the%20data/Tube%20coil%20exp/Tube%20coil%20exp/20230206/2023-02-06-2-Horizon.eksp.%20eiga.xlsx" TargetMode="External"/></Relationships>
</file>

<file path=xl/externalLinks/_rels/externalLink30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Setup/Rest%20of%20the%20data/Tube%20coil%20exp/Tube%20coil%20exp/20230208/2023-02-08-1-Horizon.eksp.%20eiga.xlsx" TargetMode="External"/><Relationship Id="rId2" Type="http://schemas.openxmlformats.org/officeDocument/2006/relationships/externalLinkPath" Target="file:///E:\PhD\New%20Setup\Rest%20of%20the%20data\Tube%20coil%20exp\Tube%20coil%20exp\20230208\2023-02-08-1-Horizon.eksp.%20eiga.xlsx" TargetMode="External"/><Relationship Id="rId1" Type="http://schemas.openxmlformats.org/officeDocument/2006/relationships/externalLinkPath" Target="/PhD/New%20Setup/Rest%20of%20the%20data/Tube%20coil%20exp/Tube%20coil%20exp/20230208/2023-02-08-1-Horizon.eksp.%20eiga.xlsx" TargetMode="External"/></Relationships>
</file>

<file path=xl/externalLinks/_rels/externalLink31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Setup/Rest%20of%20the%20data/Tube%20coil%20exp/Tube%20coil%20exp/20230209/2023-02-09-1-Horizon.eksp.%20eiga.xlsx" TargetMode="External"/><Relationship Id="rId2" Type="http://schemas.openxmlformats.org/officeDocument/2006/relationships/externalLinkPath" Target="file:///E:\PhD\New%20Setup\Rest%20of%20the%20data\Tube%20coil%20exp\Tube%20coil%20exp\20230209\2023-02-09-1-Horizon.eksp.%20eiga.xlsx" TargetMode="External"/><Relationship Id="rId1" Type="http://schemas.openxmlformats.org/officeDocument/2006/relationships/externalLinkPath" Target="/PhD/New%20Setup/Rest%20of%20the%20data/Tube%20coil%20exp/Tube%20coil%20exp/20230209/2023-02-09-1-Horizon.eksp.%20eiga.xlsx" TargetMode="External"/></Relationships>
</file>

<file path=xl/externalLinks/_rels/externalLink32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Setup/Rest%20of%20the%20data/Tube%20coil%20exp/Tube%20coil%20exp/20230209/2023-02-09-2-Horizon.eksp.%20eiga.xlsx" TargetMode="External"/><Relationship Id="rId2" Type="http://schemas.openxmlformats.org/officeDocument/2006/relationships/externalLinkPath" Target="file:///E:\PhD\New%20Setup\Rest%20of%20the%20data\Tube%20coil%20exp\Tube%20coil%20exp\20230209\2023-02-09-2-Horizon.eksp.%20eiga.xlsx" TargetMode="External"/><Relationship Id="rId1" Type="http://schemas.openxmlformats.org/officeDocument/2006/relationships/externalLinkPath" Target="/PhD/New%20Setup/Rest%20of%20the%20data/Tube%20coil%20exp/Tube%20coil%20exp/20230209/2023-02-09-2-Horizon.eksp.%20eiga.xlsx" TargetMode="External"/></Relationships>
</file>

<file path=xl/externalLinks/_rels/externalLink33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Setup/Rest%20of%20the%20data/Tube%20coil%20exp/Tube%20coil%20exp/20230210/2023-02-10-1Horizon.eksp.%20eiga.xlsx" TargetMode="External"/><Relationship Id="rId2" Type="http://schemas.openxmlformats.org/officeDocument/2006/relationships/externalLinkPath" Target="file:///E:\PhD\New%20Setup\Rest%20of%20the%20data\Tube%20coil%20exp\Tube%20coil%20exp\20230210\2023-02-10-1Horizon.eksp.%20eiga.xlsx" TargetMode="External"/><Relationship Id="rId1" Type="http://schemas.openxmlformats.org/officeDocument/2006/relationships/externalLinkPath" Target="/PhD/New%20Setup/Rest%20of%20the%20data/Tube%20coil%20exp/Tube%20coil%20exp/20230210/2023-02-10-1Horizon.eksp.%20eiga.xlsx" TargetMode="External"/></Relationships>
</file>

<file path=xl/externalLinks/_rels/externalLink34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Setup/Rest%20of%20the%20data/Tube%20coil%20exp/Tube%20coil%20exp/20230213/2023-02-13-1Horizon.eksp.%20eiga.xlsx" TargetMode="External"/><Relationship Id="rId2" Type="http://schemas.openxmlformats.org/officeDocument/2006/relationships/externalLinkPath" Target="file:///E:\PhD\New%20Setup\Rest%20of%20the%20data\Tube%20coil%20exp\Tube%20coil%20exp\20230213\2023-02-13-1Horizon.eksp.%20eiga.xlsx" TargetMode="External"/><Relationship Id="rId1" Type="http://schemas.openxmlformats.org/officeDocument/2006/relationships/externalLinkPath" Target="/PhD/New%20Setup/Rest%20of%20the%20data/Tube%20coil%20exp/Tube%20coil%20exp/20230213/2023-02-13-1Horizon.eksp.%20eiga.xlsx" TargetMode="External"/></Relationships>
</file>

<file path=xl/externalLinks/_rels/externalLink35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Setup/Rest%20of%20the%20data/Tube%20coil%20exp/Tube%20coil%20exp/20230213/2023-02-13-2Horizon.eksp.%20eiga.xlsx" TargetMode="External"/><Relationship Id="rId2" Type="http://schemas.openxmlformats.org/officeDocument/2006/relationships/externalLinkPath" Target="file:///E:\PhD\New%20Setup\Rest%20of%20the%20data\Tube%20coil%20exp\Tube%20coil%20exp\20230213\2023-02-13-2Horizon.eksp.%20eiga.xlsx" TargetMode="External"/><Relationship Id="rId1" Type="http://schemas.openxmlformats.org/officeDocument/2006/relationships/externalLinkPath" Target="/PhD/New%20Setup/Rest%20of%20the%20data/Tube%20coil%20exp/Tube%20coil%20exp/20230213/2023-02-13-2Horizon.eksp.%20eiga.xlsx" TargetMode="External"/></Relationships>
</file>

<file path=xl/externalLinks/_rels/externalLink36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Setup/Rest%20of%20the%20data/Tube%20coil%20exp/Tube%20coil%20exp/20230214/2023-02-14-1Horizon.eksp.%20eiga.xlsx" TargetMode="External"/><Relationship Id="rId2" Type="http://schemas.openxmlformats.org/officeDocument/2006/relationships/externalLinkPath" Target="file:///E:\PhD\New%20Setup\Rest%20of%20the%20data\Tube%20coil%20exp\Tube%20coil%20exp\20230214\2023-02-14-1Horizon.eksp.%20eiga.xlsx" TargetMode="External"/><Relationship Id="rId1" Type="http://schemas.openxmlformats.org/officeDocument/2006/relationships/externalLinkPath" Target="/PhD/New%20Setup/Rest%20of%20the%20data/Tube%20coil%20exp/Tube%20coil%20exp/20230214/2023-02-14-1Horizon.eksp.%20eiga.xlsx" TargetMode="External"/></Relationships>
</file>

<file path=xl/externalLinks/_rels/externalLink37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Setup/Rest%20of%20the%20data/Tube%20coil%20exp/Tube%20coil%20exp/20230214/2023-02-14-2Horizon.eksp.%20eiga.xlsx" TargetMode="External"/><Relationship Id="rId2" Type="http://schemas.openxmlformats.org/officeDocument/2006/relationships/externalLinkPath" Target="file:///E:\PhD\New%20Setup\Rest%20of%20the%20data\Tube%20coil%20exp\Tube%20coil%20exp\20230214\2023-02-14-2Horizon.eksp.%20eiga.xlsx" TargetMode="External"/><Relationship Id="rId1" Type="http://schemas.openxmlformats.org/officeDocument/2006/relationships/externalLinkPath" Target="/PhD/New%20Setup/Rest%20of%20the%20data/Tube%20coil%20exp/Tube%20coil%20exp/20230214/2023-02-14-2Horizon.eksp.%20eiga.xlsx" TargetMode="External"/></Relationships>
</file>

<file path=xl/externalLinks/_rels/externalLink38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Setup/Rest%20of%20the%20data/Tube%20coil%20exp/Tube%20coil%20exp/20230215/2023-02-15-Horizon.eksp.%20eiga.xlsx" TargetMode="External"/><Relationship Id="rId2" Type="http://schemas.openxmlformats.org/officeDocument/2006/relationships/externalLinkPath" Target="file:///E:\PhD\New%20Setup\Rest%20of%20the%20data\Tube%20coil%20exp\Tube%20coil%20exp\20230215\2023-02-15-Horizon.eksp.%20eiga.xlsx" TargetMode="External"/><Relationship Id="rId1" Type="http://schemas.openxmlformats.org/officeDocument/2006/relationships/externalLinkPath" Target="/PhD/New%20Setup/Rest%20of%20the%20data/Tube%20coil%20exp/Tube%20coil%20exp/20230215/2023-02-15-Horizon.eksp.%20eiga.xlsx" TargetMode="External"/></Relationships>
</file>

<file path=xl/externalLinks/_rels/externalLink39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Setup/Rest%20of%20the%20data/Tube%20coil%20exp/Tube%20coil%20exp/20230220/2023-02-20-1-Horizon.eksp.%20eiga.xlsx" TargetMode="External"/><Relationship Id="rId2" Type="http://schemas.openxmlformats.org/officeDocument/2006/relationships/externalLinkPath" Target="file:///E:\PhD\New%20Setup\Rest%20of%20the%20data\Tube%20coil%20exp\Tube%20coil%20exp\20230220\2023-02-20-1-Horizon.eksp.%20eiga.xlsx" TargetMode="External"/><Relationship Id="rId1" Type="http://schemas.openxmlformats.org/officeDocument/2006/relationships/externalLinkPath" Target="/PhD/New%20Setup/Rest%20of%20the%20data/Tube%20coil%20exp/Tube%20coil%20exp/20230220/2023-02-20-1-Horizon.eksp.%20eiga.xlsx" TargetMode="External"/></Relationships>
</file>

<file path=xl/externalLinks/_rels/externalLink40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Setup/Rest%20of%20the%20data/Tube%20coil%20exp/Tube%20coil%20exp/20230220/2023-02-20-2-Horizon.eksp.%20eiga.xlsx" TargetMode="External"/><Relationship Id="rId2" Type="http://schemas.openxmlformats.org/officeDocument/2006/relationships/externalLinkPath" Target="file:///E:\PhD\New%20Setup\Rest%20of%20the%20data\Tube%20coil%20exp\Tube%20coil%20exp\20230220\2023-02-20-2-Horizon.eksp.%20eiga.xlsx" TargetMode="External"/><Relationship Id="rId1" Type="http://schemas.openxmlformats.org/officeDocument/2006/relationships/externalLinkPath" Target="/PhD/New%20Setup/Rest%20of%20the%20data/Tube%20coil%20exp/Tube%20coil%20exp/20230220/2023-02-20-2-Horizon.eksp.%20eiga.xlsx" TargetMode="External"/></Relationships>
</file>

<file path=xl/externalLinks/_rels/externalLink41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Setup/Rest%20of%20the%20data/Tube%20coil%20exp/Tube%20coil%20exp/20230221/2023-02-21-1-Horizon.eksp.%20eiga.xlsx" TargetMode="External"/><Relationship Id="rId2" Type="http://schemas.openxmlformats.org/officeDocument/2006/relationships/externalLinkPath" Target="file:///E:\PhD\New%20Setup\Rest%20of%20the%20data\Tube%20coil%20exp\Tube%20coil%20exp\20230221\2023-02-21-1-Horizon.eksp.%20eiga.xlsx" TargetMode="External"/><Relationship Id="rId1" Type="http://schemas.openxmlformats.org/officeDocument/2006/relationships/externalLinkPath" Target="/PhD/New%20Setup/Rest%20of%20the%20data/Tube%20coil%20exp/Tube%20coil%20exp/20230221/2023-02-21-1-Horizon.eksp.%20eiga.xlsx" TargetMode="External"/></Relationships>
</file>

<file path=xl/externalLinks/_rels/externalLink42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Setup/Rest%20of%20the%20data/Tube%20coil%20exp/Tube%20coil%20exp/20230221/2023-02-21-2Horizon.eksp.%20eiga.xlsx" TargetMode="External"/><Relationship Id="rId2" Type="http://schemas.openxmlformats.org/officeDocument/2006/relationships/externalLinkPath" Target="file:///E:\PhD\New%20Setup\Rest%20of%20the%20data\Tube%20coil%20exp\Tube%20coil%20exp\20230221\2023-02-21-2Horizon.eksp.%20eiga.xlsx" TargetMode="External"/><Relationship Id="rId1" Type="http://schemas.openxmlformats.org/officeDocument/2006/relationships/externalLinkPath" Target="/PhD/New%20Setup/Rest%20of%20the%20data/Tube%20coil%20exp/Tube%20coil%20exp/20230221/2023-02-21-2Horizon.eksp.%20eiga.xlsx" TargetMode="External"/></Relationships>
</file>

<file path=xl/externalLinks/_rels/externalLink43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Setup/Rest%20of%20the%20data/Tube%20coil%20exp/Tube%20coil%20exp/20230222/2023-02-22-1Horizon.eksp.%20eiga.xlsx" TargetMode="External"/><Relationship Id="rId2" Type="http://schemas.openxmlformats.org/officeDocument/2006/relationships/externalLinkPath" Target="file:///E:\PhD\New%20Setup\Rest%20of%20the%20data\Tube%20coil%20exp\Tube%20coil%20exp\20230222\2023-02-22-1Horizon.eksp.%20eiga.xlsx" TargetMode="External"/><Relationship Id="rId1" Type="http://schemas.openxmlformats.org/officeDocument/2006/relationships/externalLinkPath" Target="/PhD/New%20Setup/Rest%20of%20the%20data/Tube%20coil%20exp/Tube%20coil%20exp/20230222/2023-02-22-1Horizon.eksp.%20eiga.xlsx" TargetMode="External"/></Relationships>
</file>

<file path=xl/externalLinks/_rels/externalLink44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Setup/Rest%20of%20the%20data/Tube%20coil%20exp/Tube%20coil%20exp/20230222/2023-02-22-2-Horizon.eksp.%20eiga.xlsx" TargetMode="External"/><Relationship Id="rId2" Type="http://schemas.openxmlformats.org/officeDocument/2006/relationships/externalLinkPath" Target="file:///E:\PhD\New%20Setup\Rest%20of%20the%20data\Tube%20coil%20exp\Tube%20coil%20exp\20230222\2023-02-22-2-Horizon.eksp.%20eiga.xlsx" TargetMode="External"/><Relationship Id="rId1" Type="http://schemas.openxmlformats.org/officeDocument/2006/relationships/externalLinkPath" Target="/PhD/New%20Setup/Rest%20of%20the%20data/Tube%20coil%20exp/Tube%20coil%20exp/20230222/2023-02-22-2-Horizon.eksp.%20eiga.xlsx" TargetMode="External"/></Relationships>
</file>

<file path=xl/externalLinks/_rels/externalLink45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Setup/Rest%20of%20the%20data/Tube%20coil%20exp/Tube%20coil%20exp/20230223/2023-02-23-1-Horizon.eksp.%20eiga.xlsx" TargetMode="External"/><Relationship Id="rId2" Type="http://schemas.openxmlformats.org/officeDocument/2006/relationships/externalLinkPath" Target="file:///E:\PhD\New%20Setup\Rest%20of%20the%20data\Tube%20coil%20exp\Tube%20coil%20exp\20230223\2023-02-23-1-Horizon.eksp.%20eiga.xlsx" TargetMode="External"/><Relationship Id="rId1" Type="http://schemas.openxmlformats.org/officeDocument/2006/relationships/externalLinkPath" Target="/PhD/New%20Setup/Rest%20of%20the%20data/Tube%20coil%20exp/Tube%20coil%20exp/20230223/2023-02-23-1-Horizon.eksp.%20eiga.xlsx" TargetMode="External"/></Relationships>
</file>

<file path=xl/externalLinks/_rels/externalLink46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Setup/Rest%20of%20the%20data/Tube%20coil%20exp/Tube%20coil%20exp/20230223/2023-02-23-2-Horizon.eksp.%20eiga.xlsx" TargetMode="External"/><Relationship Id="rId2" Type="http://schemas.openxmlformats.org/officeDocument/2006/relationships/externalLinkPath" Target="file:///E:\PhD\New%20Setup\Rest%20of%20the%20data\Tube%20coil%20exp\Tube%20coil%20exp\20230223\2023-02-23-2-Horizon.eksp.%20eiga.xlsx" TargetMode="External"/><Relationship Id="rId1" Type="http://schemas.openxmlformats.org/officeDocument/2006/relationships/externalLinkPath" Target="/PhD/New%20Setup/Rest%20of%20the%20data/Tube%20coil%20exp/Tube%20coil%20exp/20230223/2023-02-23-2-Horizon.eksp.%20eiga.xlsx" TargetMode="External"/></Relationships>
</file>

<file path=xl/externalLinks/_rels/externalLink47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Setup/Rest%20of%20the%20data/Tube%20coil%20exp/Tube%20coil%20exp/20230224/2023-02-24-Horizon.eksp.%20eiga.xlsx" TargetMode="External"/><Relationship Id="rId2" Type="http://schemas.openxmlformats.org/officeDocument/2006/relationships/externalLinkPath" Target="file:///E:\PhD\New%20Setup\Rest%20of%20the%20data\Tube%20coil%20exp\Tube%20coil%20exp\20230224\2023-02-24-Horizon.eksp.%20eiga.xlsx" TargetMode="External"/><Relationship Id="rId1" Type="http://schemas.openxmlformats.org/officeDocument/2006/relationships/externalLinkPath" Target="/PhD/New%20Setup/Rest%20of%20the%20data/Tube%20coil%20exp/Tube%20coil%20exp/20230224/2023-02-24-Horizon.eksp.%20eiga.xlsx" TargetMode="External"/></Relationships>
</file>

<file path=xl/externalLinks/_rels/externalLink48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Setup/Rest%20of%20the%20data/Tube%20coil%20exp/Tube%20coil%20exp/20230227/2023-02-27-1Horizon.eksp.%20eiga.xlsx" TargetMode="External"/><Relationship Id="rId2" Type="http://schemas.openxmlformats.org/officeDocument/2006/relationships/externalLinkPath" Target="file:///E:\PhD\New%20Setup\Rest%20of%20the%20data\Tube%20coil%20exp\Tube%20coil%20exp\20230227\2023-02-27-1Horizon.eksp.%20eiga.xlsx" TargetMode="External"/><Relationship Id="rId1" Type="http://schemas.openxmlformats.org/officeDocument/2006/relationships/externalLinkPath" Target="/PhD/New%20Setup/Rest%20of%20the%20data/Tube%20coil%20exp/Tube%20coil%20exp/20230227/2023-02-27-1Horizon.eksp.%20eiga.xlsx" TargetMode="External"/></Relationships>
</file>

<file path=xl/externalLinks/_rels/externalLink49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Setup/Rest%20of%20the%20data/Tube%20coil%20exp/Tube%20coil%20exp/20230227/2023-02-27-2Horizon.eksp.%20eiga.xlsx" TargetMode="External"/><Relationship Id="rId2" Type="http://schemas.openxmlformats.org/officeDocument/2006/relationships/externalLinkPath" Target="file:///E:\PhD\New%20Setup\Rest%20of%20the%20data\Tube%20coil%20exp\Tube%20coil%20exp\20230227\2023-02-27-2Horizon.eksp.%20eiga.xlsx" TargetMode="External"/><Relationship Id="rId1" Type="http://schemas.openxmlformats.org/officeDocument/2006/relationships/externalLinkPath" Target="/PhD/New%20Setup/Rest%20of%20the%20data/Tube%20coil%20exp/Tube%20coil%20exp/20230227/2023-02-27-2Horizon.eksp.%20eiga.xlsx" TargetMode="External"/></Relationships>
</file>

<file path=xl/externalLinks/_rels/externalLink50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Setup/Rest%20of%20the%20data/Tube%20coil%20exp/Tube%20coil%20exp/20230228/2023-02-28-1Horizon.eksp.%20eiga.xlsx" TargetMode="External"/><Relationship Id="rId2" Type="http://schemas.openxmlformats.org/officeDocument/2006/relationships/externalLinkPath" Target="file:///E:\PhD\New%20Setup\Rest%20of%20the%20data\Tube%20coil%20exp\Tube%20coil%20exp\20230228\2023-02-28-1Horizon.eksp.%20eiga.xlsx" TargetMode="External"/><Relationship Id="rId1" Type="http://schemas.openxmlformats.org/officeDocument/2006/relationships/externalLinkPath" Target="/PhD/New%20Setup/Rest%20of%20the%20data/Tube%20coil%20exp/Tube%20coil%20exp/20230228/2023-02-28-1Horizon.eksp.%20eiga.xlsx" TargetMode="External"/></Relationships>
</file>

<file path=xl/externalLinks/_rels/externalLink51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Setup/Rest%20of%20the%20data/Tube%20coil%20exp/Tube%20coil%20exp/20230228/2023-02-28-2-Horizon.eksp.%20eiga.xlsx" TargetMode="External"/><Relationship Id="rId2" Type="http://schemas.openxmlformats.org/officeDocument/2006/relationships/externalLinkPath" Target="file:///E:\PhD\New%20Setup\Rest%20of%20the%20data\Tube%20coil%20exp\Tube%20coil%20exp\20230228\2023-02-28-2-Horizon.eksp.%20eiga.xlsx" TargetMode="External"/><Relationship Id="rId1" Type="http://schemas.openxmlformats.org/officeDocument/2006/relationships/externalLinkPath" Target="/PhD/New%20Setup/Rest%20of%20the%20data/Tube%20coil%20exp/Tube%20coil%20exp/20230228/2023-02-28-2-Horizon.eksp.%20eiga.xlsx" TargetMode="External"/></Relationships>
</file>

<file path=xl/externalLinks/_rels/externalLink52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Setup/Rest%20of%20the%20data/Tube%20coil%20exp/Tube%20coil%20exp/20230301/2023-03-01Horizon.eksp.%20eiga.xlsx" TargetMode="External"/><Relationship Id="rId2" Type="http://schemas.openxmlformats.org/officeDocument/2006/relationships/externalLinkPath" Target="file:///E:\PhD\New%20Setup\Rest%20of%20the%20data\Tube%20coil%20exp\Tube%20coil%20exp\20230301\2023-03-01Horizon.eksp.%20eiga.xlsx" TargetMode="External"/><Relationship Id="rId1" Type="http://schemas.openxmlformats.org/officeDocument/2006/relationships/externalLinkPath" Target="/PhD/New%20Setup/Rest%20of%20the%20data/Tube%20coil%20exp/Tube%20coil%20exp/20230301/2023-03-01Horizon.eksp.%20eiga.xlsx" TargetMode="External"/></Relationships>
</file>

<file path=xl/externalLinks/_rels/externalLink53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Setup/Rest%20of%20the%20data/Tube%20coil%20exp/Tube%20coil%20exp/20230302/2023-03-02-1Horizon.eksp.%20eiga.xlsx" TargetMode="External"/><Relationship Id="rId2" Type="http://schemas.openxmlformats.org/officeDocument/2006/relationships/externalLinkPath" Target="file:///E:\PhD\New%20Setup\Rest%20of%20the%20data\Tube%20coil%20exp\Tube%20coil%20exp\20230302\2023-03-02-1Horizon.eksp.%20eiga.xlsx" TargetMode="External"/><Relationship Id="rId1" Type="http://schemas.openxmlformats.org/officeDocument/2006/relationships/externalLinkPath" Target="/PhD/New%20Setup/Rest%20of%20the%20data/Tube%20coil%20exp/Tube%20coil%20exp/20230302/2023-03-02-1Horizon.eksp.%20eiga.xlsx" TargetMode="External"/></Relationships>
</file>

<file path=xl/externalLinks/_rels/externalLink54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Setup/Rest%20of%20the%20data/Tube%20coil%20exp/Tube%20coil%20exp/20230302/2023-03-02-2Horizon.eksp.%20eiga.xlsx" TargetMode="External"/><Relationship Id="rId2" Type="http://schemas.openxmlformats.org/officeDocument/2006/relationships/externalLinkPath" Target="file:///E:\PhD\New%20Setup\Rest%20of%20the%20data\Tube%20coil%20exp\Tube%20coil%20exp\20230302\2023-03-02-2Horizon.eksp.%20eiga.xlsx" TargetMode="External"/><Relationship Id="rId1" Type="http://schemas.openxmlformats.org/officeDocument/2006/relationships/externalLinkPath" Target="/PhD/New%20Setup/Rest%20of%20the%20data/Tube%20coil%20exp/Tube%20coil%20exp/20230302/2023-03-02-2Horizon.eksp.%20eig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agr. parametrai"/>
      <sheetName val="Chronologija"/>
      <sheetName val="Termoporos"/>
      <sheetName val="Dūmų debito nustatymas"/>
      <sheetName val="Keithley Matavimai"/>
      <sheetName val="Silumos kiekio nustat."/>
      <sheetName val="Šilumos kiekio kitimas"/>
      <sheetName val="Alfa"/>
      <sheetName val="Sheet1"/>
      <sheetName val="Nu kitimas"/>
      <sheetName val="Kondensacijos efektyvumas"/>
    </sheetNames>
    <sheetDataSet>
      <sheetData sheetId="0"/>
      <sheetData sheetId="1"/>
      <sheetData sheetId="2"/>
      <sheetData sheetId="3"/>
      <sheetData sheetId="4">
        <row r="5">
          <cell r="V5">
            <v>143.95272035675225</v>
          </cell>
        </row>
      </sheetData>
      <sheetData sheetId="5">
        <row r="24">
          <cell r="B24">
            <v>31.404700354814132</v>
          </cell>
        </row>
      </sheetData>
      <sheetData sheetId="6"/>
      <sheetData sheetId="7">
        <row r="3">
          <cell r="AG3">
            <v>4967.7963785664288</v>
          </cell>
        </row>
        <row r="16">
          <cell r="F16">
            <v>0.15717391304347827</v>
          </cell>
        </row>
      </sheetData>
      <sheetData sheetId="8"/>
      <sheetData sheetId="9">
        <row r="4">
          <cell r="F4">
            <v>91.099420457795389</v>
          </cell>
        </row>
      </sheetData>
      <sheetData sheetId="10">
        <row r="4">
          <cell r="B4">
            <v>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agr. parametrai"/>
      <sheetName val="Chronologija"/>
      <sheetName val="Termoporos"/>
      <sheetName val="Dūmų debito nustatymas"/>
      <sheetName val="Keithley Matavimai"/>
      <sheetName val="Silumos kiekio nustat."/>
      <sheetName val="Šilumos kiekio kitimas"/>
      <sheetName val="Alfa"/>
      <sheetName val="Sheet1"/>
      <sheetName val="Nu kitimas"/>
      <sheetName val="Kondensacijos efektyvumas"/>
    </sheetNames>
    <sheetDataSet>
      <sheetData sheetId="0"/>
      <sheetData sheetId="1"/>
      <sheetData sheetId="2"/>
      <sheetData sheetId="3"/>
      <sheetData sheetId="4">
        <row r="5">
          <cell r="V5">
            <v>143.15180585352542</v>
          </cell>
        </row>
      </sheetData>
      <sheetData sheetId="5">
        <row r="24">
          <cell r="B24">
            <v>51.083476202433111</v>
          </cell>
        </row>
      </sheetData>
      <sheetData sheetId="6"/>
      <sheetData sheetId="7">
        <row r="3">
          <cell r="AG3">
            <v>4975.9658610894103</v>
          </cell>
        </row>
        <row r="16">
          <cell r="F16">
            <v>8.9800000000000005E-2</v>
          </cell>
        </row>
      </sheetData>
      <sheetData sheetId="8"/>
      <sheetData sheetId="9">
        <row r="4">
          <cell r="F4">
            <v>77.022080221615354</v>
          </cell>
        </row>
      </sheetData>
      <sheetData sheetId="10">
        <row r="4">
          <cell r="B4">
            <v>6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agr. parametrai"/>
      <sheetName val="Chronologija"/>
      <sheetName val="Termoporos"/>
      <sheetName val="Keithley Matavimai"/>
      <sheetName val="Dūmų debito nustatymas"/>
      <sheetName val="Silumos kiekio nustat."/>
      <sheetName val="Šilumos kiekio kitimas"/>
      <sheetName val="Alfa"/>
      <sheetName val="Sheet1"/>
      <sheetName val="Nu kitimas"/>
      <sheetName val="Kondensacijos efektyvumas"/>
    </sheetNames>
    <sheetDataSet>
      <sheetData sheetId="0"/>
      <sheetData sheetId="1"/>
      <sheetData sheetId="2"/>
      <sheetData sheetId="3">
        <row r="5">
          <cell r="V5">
            <v>83.615254125400384</v>
          </cell>
        </row>
      </sheetData>
      <sheetData sheetId="4"/>
      <sheetData sheetId="5">
        <row r="24">
          <cell r="B24">
            <v>38.509385850679287</v>
          </cell>
        </row>
      </sheetData>
      <sheetData sheetId="6"/>
      <sheetData sheetId="7">
        <row r="3">
          <cell r="AG3">
            <v>5021.3061876905504</v>
          </cell>
        </row>
        <row r="16">
          <cell r="F16">
            <v>0.1503956043956044</v>
          </cell>
        </row>
      </sheetData>
      <sheetData sheetId="8"/>
      <sheetData sheetId="9">
        <row r="4">
          <cell r="I4">
            <v>241.55776735032316</v>
          </cell>
        </row>
      </sheetData>
      <sheetData sheetId="10">
        <row r="4">
          <cell r="B4">
            <v>18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agr. parametrai"/>
      <sheetName val="Chronologija"/>
      <sheetName val="Termoporos"/>
      <sheetName val="Dūmų debito nustatymas"/>
      <sheetName val="Keithley Matavimai"/>
      <sheetName val="Silumos kiekio nustat."/>
      <sheetName val="Šilumos kiekio kitimas"/>
      <sheetName val="Alfa"/>
      <sheetName val="Sheet1"/>
      <sheetName val="Nu kitimas"/>
      <sheetName val="Kondensacijos efektyvumas"/>
    </sheetNames>
    <sheetDataSet>
      <sheetData sheetId="0"/>
      <sheetData sheetId="1"/>
      <sheetData sheetId="2"/>
      <sheetData sheetId="3"/>
      <sheetData sheetId="4">
        <row r="5">
          <cell r="V5">
            <v>143.81508569631009</v>
          </cell>
        </row>
      </sheetData>
      <sheetData sheetId="5">
        <row r="24">
          <cell r="B24">
            <v>40.858528735032671</v>
          </cell>
        </row>
      </sheetData>
      <sheetData sheetId="6"/>
      <sheetData sheetId="7">
        <row r="3">
          <cell r="AG3">
            <v>4950.1571968928884</v>
          </cell>
        </row>
        <row r="16">
          <cell r="F16">
            <v>0.14591208791208793</v>
          </cell>
        </row>
      </sheetData>
      <sheetData sheetId="8"/>
      <sheetData sheetId="9">
        <row r="4">
          <cell r="F4">
            <v>86.999407597187314</v>
          </cell>
        </row>
      </sheetData>
      <sheetData sheetId="10">
        <row r="4">
          <cell r="B4">
            <v>5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agr. parametrai"/>
      <sheetName val="Chronologija"/>
      <sheetName val="Termoporos"/>
      <sheetName val="Dūmų debito nustatymas"/>
      <sheetName val="Keithley Matavimai"/>
      <sheetName val="Silumos kiekio nustat."/>
      <sheetName val="Šilumos kiekio kitimas"/>
      <sheetName val="Alfa"/>
      <sheetName val="Sheet1"/>
      <sheetName val="Kondensacijos efektyvumas"/>
      <sheetName val="Nu kitimas"/>
    </sheetNames>
    <sheetDataSet>
      <sheetData sheetId="0"/>
      <sheetData sheetId="1"/>
      <sheetData sheetId="2"/>
      <sheetData sheetId="3"/>
      <sheetData sheetId="4">
        <row r="5">
          <cell r="V5">
            <v>204.52302540323319</v>
          </cell>
        </row>
      </sheetData>
      <sheetData sheetId="5">
        <row r="24">
          <cell r="B24">
            <v>42.928053270550116</v>
          </cell>
        </row>
      </sheetData>
      <sheetData sheetId="6"/>
      <sheetData sheetId="7">
        <row r="3">
          <cell r="AG3">
            <v>4979.2584124785726</v>
          </cell>
        </row>
        <row r="16">
          <cell r="F16">
            <v>0.12180000000000001</v>
          </cell>
        </row>
      </sheetData>
      <sheetData sheetId="8"/>
      <sheetData sheetId="9">
        <row r="4">
          <cell r="B4">
            <v>0</v>
          </cell>
        </row>
      </sheetData>
      <sheetData sheetId="10">
        <row r="4">
          <cell r="G4">
            <v>56.952177130034556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agr. parametrai"/>
      <sheetName val="Chronologija"/>
      <sheetName val="Termoporos"/>
      <sheetName val="Keithley Matavimai"/>
      <sheetName val="Dūmų debito nustatymas"/>
      <sheetName val="Silumos kiekio nustat."/>
      <sheetName val="Šilumos kiekio kitimas"/>
      <sheetName val="Alfa"/>
      <sheetName val="Sheet1"/>
      <sheetName val="Nu kitimas"/>
      <sheetName val="Kondensacijos efektyvumas"/>
    </sheetNames>
    <sheetDataSet>
      <sheetData sheetId="0"/>
      <sheetData sheetId="1"/>
      <sheetData sheetId="2"/>
      <sheetData sheetId="3">
        <row r="5">
          <cell r="V5">
            <v>84.368139768286923</v>
          </cell>
        </row>
      </sheetData>
      <sheetData sheetId="4"/>
      <sheetData sheetId="5">
        <row r="24">
          <cell r="B24">
            <v>46.352358225233615</v>
          </cell>
        </row>
      </sheetData>
      <sheetData sheetId="6"/>
      <sheetData sheetId="7">
        <row r="3">
          <cell r="AG3">
            <v>3021.9876604420051</v>
          </cell>
        </row>
        <row r="16">
          <cell r="F16">
            <v>0.12909890109890113</v>
          </cell>
        </row>
      </sheetData>
      <sheetData sheetId="8"/>
      <sheetData sheetId="9">
        <row r="4">
          <cell r="O4">
            <v>144.97533341184572</v>
          </cell>
        </row>
      </sheetData>
      <sheetData sheetId="10">
        <row r="4">
          <cell r="B4">
            <v>22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Pagr. parametrai"/>
      <sheetName val="Chronologija"/>
      <sheetName val="Keithley Matavimai"/>
      <sheetName val="Dūmų debito nustatymas"/>
      <sheetName val="Silumos kiekio nustat."/>
      <sheetName val="Šilumos kiekio kitimas"/>
      <sheetName val="Alfa"/>
      <sheetName val="copy Alfa (2)"/>
      <sheetName val="Nu kitimas"/>
      <sheetName val="Kondensacijos efektyvumas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6">
          <cell r="F16">
            <v>0.11453333333333333</v>
          </cell>
        </row>
      </sheetData>
      <sheetData sheetId="8"/>
      <sheetData sheetId="9"/>
      <sheetData sheetId="10"/>
      <sheetData sheetId="1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agr. parametrai"/>
      <sheetName val="Chronologija"/>
      <sheetName val="Termoporos"/>
      <sheetName val="Keithley Matavimai"/>
      <sheetName val="Dūmų debito nustatymas"/>
      <sheetName val="Silumos kiekio nustat."/>
      <sheetName val="Šilumos kiekio kitimas"/>
      <sheetName val="Alfa"/>
      <sheetName val="Sheet1"/>
      <sheetName val="Nu kitimas"/>
      <sheetName val="Kondensacijos efektyvumas"/>
    </sheetNames>
    <sheetDataSet>
      <sheetData sheetId="0"/>
      <sheetData sheetId="1"/>
      <sheetData sheetId="2"/>
      <sheetData sheetId="3">
        <row r="5">
          <cell r="V5">
            <v>204.66824927575183</v>
          </cell>
        </row>
      </sheetData>
      <sheetData sheetId="4"/>
      <sheetData sheetId="5">
        <row r="24">
          <cell r="B24">
            <v>52.014034378271518</v>
          </cell>
        </row>
      </sheetData>
      <sheetData sheetId="6"/>
      <sheetData sheetId="7">
        <row r="3">
          <cell r="AG3">
            <v>2986.2618922030688</v>
          </cell>
        </row>
        <row r="16">
          <cell r="F16">
            <v>9.6666666666666651E-2</v>
          </cell>
        </row>
      </sheetData>
      <sheetData sheetId="8"/>
      <sheetData sheetId="9">
        <row r="4">
          <cell r="G4">
            <v>45.573879155836735</v>
          </cell>
        </row>
      </sheetData>
      <sheetData sheetId="10">
        <row r="4">
          <cell r="B4">
            <v>2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agr. parametrai"/>
      <sheetName val="Chronologija"/>
      <sheetName val="Termoporos"/>
      <sheetName val="Keithley Matavimai"/>
      <sheetName val="Dūmų debito nustatymas"/>
      <sheetName val="Silumos kiekio nustat."/>
      <sheetName val="Šilumos kiekio kitimas"/>
      <sheetName val="Alfa"/>
      <sheetName val="Sheet1"/>
      <sheetName val="Nu kitimas"/>
      <sheetName val="Kondensacijos efektyvumas"/>
    </sheetNames>
    <sheetDataSet>
      <sheetData sheetId="0"/>
      <sheetData sheetId="1"/>
      <sheetData sheetId="2"/>
      <sheetData sheetId="3">
        <row r="5">
          <cell r="V5">
            <v>83.774629045195908</v>
          </cell>
        </row>
      </sheetData>
      <sheetData sheetId="4"/>
      <sheetData sheetId="5">
        <row r="24">
          <cell r="B24">
            <v>33.50429860207236</v>
          </cell>
        </row>
      </sheetData>
      <sheetData sheetId="6"/>
      <sheetData sheetId="7">
        <row r="3">
          <cell r="AG3">
            <v>10213.17671062615</v>
          </cell>
        </row>
        <row r="16">
          <cell r="F16">
            <v>0.2603669724770642</v>
          </cell>
        </row>
      </sheetData>
      <sheetData sheetId="8"/>
      <sheetData sheetId="9">
        <row r="4">
          <cell r="K4">
            <v>386.2354798729861</v>
          </cell>
        </row>
      </sheetData>
      <sheetData sheetId="10">
        <row r="4">
          <cell r="B4">
            <v>13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agr. parametrai"/>
      <sheetName val="Chronologija"/>
      <sheetName val="Termoporos"/>
      <sheetName val="Keithley Matavimai"/>
      <sheetName val="Dūmų debito nustatymas"/>
      <sheetName val="Silumos kiekio nustat."/>
      <sheetName val="Šilumos kiekio kitimas"/>
      <sheetName val="Alfa"/>
      <sheetName val="Sheet1"/>
      <sheetName val="Nu kitimas"/>
      <sheetName val="Kondensacijos efektyvumas"/>
    </sheetNames>
    <sheetDataSet>
      <sheetData sheetId="0"/>
      <sheetData sheetId="1"/>
      <sheetData sheetId="2"/>
      <sheetData sheetId="3">
        <row r="5">
          <cell r="V5">
            <v>144.07083286702004</v>
          </cell>
        </row>
      </sheetData>
      <sheetData sheetId="4"/>
      <sheetData sheetId="5">
        <row r="24">
          <cell r="B24">
            <v>34.332329282736893</v>
          </cell>
        </row>
      </sheetData>
      <sheetData sheetId="6"/>
      <sheetData sheetId="7">
        <row r="3">
          <cell r="AG3">
            <v>10057.784950472564</v>
          </cell>
        </row>
        <row r="16">
          <cell r="F16">
            <v>0.236697247706422</v>
          </cell>
        </row>
      </sheetData>
      <sheetData sheetId="8"/>
      <sheetData sheetId="9">
        <row r="4">
          <cell r="G4">
            <v>140.49049405706023</v>
          </cell>
        </row>
      </sheetData>
      <sheetData sheetId="10">
        <row r="4">
          <cell r="B4">
            <v>0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agr. parametrai"/>
      <sheetName val="Chronologija"/>
      <sheetName val="Termoporos"/>
      <sheetName val="Keithley Matavimai"/>
      <sheetName val="Dūmų debito nustatymas"/>
      <sheetName val="Silumos kiekio nustat."/>
      <sheetName val="Šilumos kiekio kitimas"/>
      <sheetName val="Alfa"/>
      <sheetName val="Sheet1"/>
      <sheetName val="Nu kitimas"/>
      <sheetName val="Kondensacijos efektyvumas"/>
    </sheetNames>
    <sheetDataSet>
      <sheetData sheetId="0"/>
      <sheetData sheetId="1"/>
      <sheetData sheetId="2"/>
      <sheetData sheetId="3">
        <row r="5">
          <cell r="V5">
            <v>204.97835695158508</v>
          </cell>
        </row>
      </sheetData>
      <sheetData sheetId="4"/>
      <sheetData sheetId="5">
        <row r="24">
          <cell r="B24">
            <v>36.849025506425917</v>
          </cell>
        </row>
      </sheetData>
      <sheetData sheetId="6"/>
      <sheetData sheetId="7">
        <row r="3">
          <cell r="AG3">
            <v>9931.1984903186913</v>
          </cell>
        </row>
        <row r="16">
          <cell r="F16">
            <v>0.20355963302752292</v>
          </cell>
        </row>
      </sheetData>
      <sheetData sheetId="8"/>
      <sheetData sheetId="9">
        <row r="4">
          <cell r="F4">
            <v>93.543860142999591</v>
          </cell>
        </row>
      </sheetData>
      <sheetData sheetId="10">
        <row r="4">
          <cell r="B4">
            <v>0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agr. parametrai"/>
      <sheetName val="Chronologija"/>
      <sheetName val="Termoporos"/>
      <sheetName val="Keithley Matavimai"/>
      <sheetName val="Dūmų debito nustatymas"/>
      <sheetName val="Silumos kiekio nustat."/>
      <sheetName val="Šilumos kiekio kitimas"/>
      <sheetName val="Alfa"/>
      <sheetName val="Sheet1"/>
      <sheetName val="Nu kitimas"/>
      <sheetName val="Kondensacijos efektyvumas"/>
    </sheetNames>
    <sheetDataSet>
      <sheetData sheetId="0"/>
      <sheetData sheetId="1"/>
      <sheetData sheetId="2"/>
      <sheetData sheetId="3">
        <row r="5">
          <cell r="V5">
            <v>84.360302906227631</v>
          </cell>
        </row>
      </sheetData>
      <sheetData sheetId="4"/>
      <sheetData sheetId="5">
        <row r="24">
          <cell r="B24">
            <v>17.425909758186322</v>
          </cell>
        </row>
      </sheetData>
      <sheetData sheetId="6"/>
      <sheetData sheetId="7">
        <row r="3">
          <cell r="AG3">
            <v>5012.5821475331104</v>
          </cell>
        </row>
        <row r="16">
          <cell r="F16">
            <v>0.19089130434782609</v>
          </cell>
        </row>
      </sheetData>
      <sheetData sheetId="8"/>
      <sheetData sheetId="9">
        <row r="4">
          <cell r="J4">
            <v>222.701028009493</v>
          </cell>
        </row>
      </sheetData>
      <sheetData sheetId="10">
        <row r="4">
          <cell r="B4">
            <v>18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agr. parametrai"/>
      <sheetName val="Chronologija"/>
      <sheetName val="Termoporos"/>
      <sheetName val="Dūmų debito nustatymas"/>
      <sheetName val="Keithley Matavimai"/>
      <sheetName val="Silumos kiekio nustat."/>
      <sheetName val="Šilumos kiekio kitimas"/>
      <sheetName val="Alfa"/>
      <sheetName val="Sheet1"/>
      <sheetName val="Nu kitimas"/>
      <sheetName val="Kondensacijos efektyvumas"/>
    </sheetNames>
    <sheetDataSet>
      <sheetData sheetId="0"/>
      <sheetData sheetId="1"/>
      <sheetData sheetId="2"/>
      <sheetData sheetId="3"/>
      <sheetData sheetId="4">
        <row r="5">
          <cell r="V5">
            <v>143.76605911557212</v>
          </cell>
        </row>
      </sheetData>
      <sheetData sheetId="5">
        <row r="24">
          <cell r="B24">
            <v>18.722418090761057</v>
          </cell>
        </row>
      </sheetData>
      <sheetData sheetId="6"/>
      <sheetData sheetId="7">
        <row r="3">
          <cell r="AG3">
            <v>4950.6531216617313</v>
          </cell>
        </row>
        <row r="16">
          <cell r="F16">
            <v>0.22193406593406595</v>
          </cell>
        </row>
      </sheetData>
      <sheetData sheetId="8"/>
      <sheetData sheetId="9"/>
      <sheetData sheetId="10">
        <row r="4">
          <cell r="B4">
            <v>4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agr. parametrai"/>
      <sheetName val="Chronologija"/>
      <sheetName val="Termoporos"/>
      <sheetName val="Dūmų debito nustatymas"/>
      <sheetName val="Keithley Matavimai"/>
      <sheetName val="Silumos kiekio nustat."/>
      <sheetName val="Šilumos kiekio kitimas"/>
      <sheetName val="Alfa"/>
      <sheetName val="Sheet1"/>
      <sheetName val="Nu kitimas"/>
      <sheetName val="Kondensacijos efektyvumas"/>
    </sheetNames>
    <sheetDataSet>
      <sheetData sheetId="0"/>
      <sheetData sheetId="1"/>
      <sheetData sheetId="2"/>
      <sheetData sheetId="3"/>
      <sheetData sheetId="4">
        <row r="5">
          <cell r="V5">
            <v>204.75645177716919</v>
          </cell>
        </row>
      </sheetData>
      <sheetData sheetId="5">
        <row r="24">
          <cell r="B24">
            <v>20.461910760154922</v>
          </cell>
        </row>
      </sheetData>
      <sheetData sheetId="6"/>
      <sheetData sheetId="7">
        <row r="3">
          <cell r="AG3">
            <v>4976.5321632397463</v>
          </cell>
        </row>
        <row r="16">
          <cell r="F16">
            <v>0.21759999999999999</v>
          </cell>
        </row>
      </sheetData>
      <sheetData sheetId="8"/>
      <sheetData sheetId="9">
        <row r="4">
          <cell r="F4">
            <v>92.977207842719608</v>
          </cell>
        </row>
      </sheetData>
      <sheetData sheetId="10">
        <row r="4">
          <cell r="B4">
            <v>2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agr. parametrai"/>
      <sheetName val="Chronologija"/>
      <sheetName val="Termoporos"/>
      <sheetName val="Keithley Matavimai"/>
      <sheetName val="Dūmų debito nustatymas"/>
      <sheetName val="Silumos kiekio nustat."/>
      <sheetName val="Šilumos kiekio kitimas"/>
      <sheetName val="Alfa"/>
      <sheetName val="Sheet1"/>
      <sheetName val="Nu kitimas"/>
      <sheetName val="Kondensacijos efektyvumas"/>
    </sheetNames>
    <sheetDataSet>
      <sheetData sheetId="0"/>
      <sheetData sheetId="1"/>
      <sheetData sheetId="2"/>
      <sheetData sheetId="3">
        <row r="5">
          <cell r="V5">
            <v>84.030849702282509</v>
          </cell>
        </row>
      </sheetData>
      <sheetData sheetId="4"/>
      <sheetData sheetId="5">
        <row r="24">
          <cell r="B24">
            <v>21.041767663218184</v>
          </cell>
        </row>
      </sheetData>
      <sheetData sheetId="6"/>
      <sheetData sheetId="7">
        <row r="3">
          <cell r="AG3">
            <v>3040.288350129289</v>
          </cell>
        </row>
        <row r="16">
          <cell r="F16">
            <v>0.18046153846153848</v>
          </cell>
        </row>
      </sheetData>
      <sheetData sheetId="8"/>
      <sheetData sheetId="9">
        <row r="4">
          <cell r="J4">
            <v>226.93183674945587</v>
          </cell>
        </row>
      </sheetData>
      <sheetData sheetId="10">
        <row r="4">
          <cell r="B4">
            <v>159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agr. parametrai"/>
      <sheetName val="Chronologija"/>
      <sheetName val="Termoporos"/>
      <sheetName val="Keithley Matavimai"/>
      <sheetName val="Dūmų debito nustatymas"/>
      <sheetName val="Silumos kiekio nustat."/>
      <sheetName val="Šilumos kiekio kitimas"/>
      <sheetName val="Alfa"/>
      <sheetName val="Sheet1"/>
      <sheetName val="Nu kitimas"/>
      <sheetName val="Kondensacijos efektyvumas"/>
    </sheetNames>
    <sheetDataSet>
      <sheetData sheetId="0"/>
      <sheetData sheetId="1"/>
      <sheetData sheetId="2"/>
      <sheetData sheetId="3">
        <row r="5">
          <cell r="V5">
            <v>142.71559631224923</v>
          </cell>
        </row>
      </sheetData>
      <sheetData sheetId="4"/>
      <sheetData sheetId="5">
        <row r="24">
          <cell r="B24">
            <v>23.2121106497125</v>
          </cell>
        </row>
      </sheetData>
      <sheetData sheetId="6"/>
      <sheetData sheetId="7">
        <row r="3">
          <cell r="AG3">
            <v>3005.4391744481404</v>
          </cell>
        </row>
        <row r="16">
          <cell r="F16">
            <v>0.18977049180327871</v>
          </cell>
        </row>
      </sheetData>
      <sheetData sheetId="8"/>
      <sheetData sheetId="9">
        <row r="4">
          <cell r="H4">
            <v>117.4765656701538</v>
          </cell>
        </row>
      </sheetData>
      <sheetData sheetId="10">
        <row r="4">
          <cell r="B4">
            <v>13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agr. parametrai"/>
      <sheetName val="Chronologija"/>
      <sheetName val="Termoporos"/>
      <sheetName val="Keithley Matavimai"/>
      <sheetName val="Dūmų debito nustatymas"/>
      <sheetName val="Silumos kiekio nustat."/>
      <sheetName val="Šilumos kiekio kitimas"/>
      <sheetName val="Alfa"/>
      <sheetName val="Sheet1"/>
      <sheetName val="Nu kitimas"/>
      <sheetName val="Kondensacijos efektyvumas"/>
    </sheetNames>
    <sheetDataSet>
      <sheetData sheetId="0"/>
      <sheetData sheetId="1"/>
      <sheetData sheetId="2"/>
      <sheetData sheetId="3">
        <row r="5">
          <cell r="V5">
            <v>204.38615683924391</v>
          </cell>
        </row>
      </sheetData>
      <sheetData sheetId="4"/>
      <sheetData sheetId="5">
        <row r="24">
          <cell r="B24">
            <v>23.794619064227181</v>
          </cell>
        </row>
      </sheetData>
      <sheetData sheetId="6"/>
      <sheetData sheetId="7">
        <row r="3">
          <cell r="AG3">
            <v>2980.9679779619291</v>
          </cell>
        </row>
        <row r="16">
          <cell r="F16">
            <v>0.1858342541436464</v>
          </cell>
        </row>
      </sheetData>
      <sheetData sheetId="8"/>
      <sheetData sheetId="9">
        <row r="4">
          <cell r="G4">
            <v>74.172406326785705</v>
          </cell>
        </row>
      </sheetData>
      <sheetData sheetId="10">
        <row r="4">
          <cell r="B4">
            <v>4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agr. parametrai"/>
      <sheetName val="Chronologija"/>
      <sheetName val="Termoporos"/>
      <sheetName val="Keithley Matavimai"/>
      <sheetName val="Dūmų debito nustatymas"/>
      <sheetName val="Silumos kiekio nustat."/>
      <sheetName val="Šilumos kiekio kitimas"/>
      <sheetName val="Alfa"/>
      <sheetName val="Sheet1"/>
      <sheetName val="Nu kitimas"/>
      <sheetName val="Kondensacijos efektyvumas"/>
    </sheetNames>
    <sheetDataSet>
      <sheetData sheetId="0"/>
      <sheetData sheetId="1"/>
      <sheetData sheetId="2"/>
      <sheetData sheetId="3">
        <row r="5">
          <cell r="V5">
            <v>84.051336698469996</v>
          </cell>
        </row>
      </sheetData>
      <sheetData sheetId="4"/>
      <sheetData sheetId="5">
        <row r="24">
          <cell r="B24">
            <v>16.382112731347831</v>
          </cell>
        </row>
      </sheetData>
      <sheetData sheetId="6"/>
      <sheetData sheetId="7">
        <row r="3">
          <cell r="AG3">
            <v>10186.788699549237</v>
          </cell>
        </row>
        <row r="16">
          <cell r="F16">
            <v>0.33119999999999994</v>
          </cell>
        </row>
      </sheetData>
      <sheetData sheetId="8"/>
      <sheetData sheetId="9">
        <row r="4">
          <cell r="J4">
            <v>345.98705875587126</v>
          </cell>
        </row>
      </sheetData>
      <sheetData sheetId="10">
        <row r="4">
          <cell r="B4">
            <v>17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agr. parametrai"/>
      <sheetName val="Chronologija"/>
      <sheetName val="Termoporos"/>
      <sheetName val="Keithley Matavimai"/>
      <sheetName val="Dūmų debito nustatymas"/>
      <sheetName val="Silumos kiekio nustat."/>
      <sheetName val="Šilumos kiekio kitimas"/>
      <sheetName val="Alfa"/>
      <sheetName val="Sheet1"/>
      <sheetName val="Nu kitimas"/>
      <sheetName val="Kondensacijos efektyvumas"/>
    </sheetNames>
    <sheetDataSet>
      <sheetData sheetId="0"/>
      <sheetData sheetId="1"/>
      <sheetData sheetId="2"/>
      <sheetData sheetId="3">
        <row r="5">
          <cell r="V5">
            <v>143.50626936806222</v>
          </cell>
        </row>
      </sheetData>
      <sheetData sheetId="4"/>
      <sheetData sheetId="5">
        <row r="24">
          <cell r="B24">
            <v>18.163772365498104</v>
          </cell>
        </row>
      </sheetData>
      <sheetData sheetId="6"/>
      <sheetData sheetId="7">
        <row r="3">
          <cell r="AG3">
            <v>10069.402844201079</v>
          </cell>
        </row>
        <row r="16">
          <cell r="F16">
            <v>0.3503</v>
          </cell>
        </row>
      </sheetData>
      <sheetData sheetId="8"/>
      <sheetData sheetId="9">
        <row r="4">
          <cell r="F4">
            <v>214.67257594652375</v>
          </cell>
        </row>
      </sheetData>
      <sheetData sheetId="10">
        <row r="4">
          <cell r="B4">
            <v>0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agr. parametrai"/>
      <sheetName val="Chronologija"/>
      <sheetName val="Termoporos"/>
      <sheetName val="Keithley Matavimai"/>
      <sheetName val="Dūmų debito nustatymas"/>
      <sheetName val="Silumos kiekio nustat."/>
      <sheetName val="Šilumos kiekio kitimas"/>
      <sheetName val="Alfa"/>
      <sheetName val="Sheet1"/>
      <sheetName val="Nu kitimas"/>
      <sheetName val="Kondensacijos efektyvumas"/>
    </sheetNames>
    <sheetDataSet>
      <sheetData sheetId="0"/>
      <sheetData sheetId="1"/>
      <sheetData sheetId="2"/>
      <sheetData sheetId="3">
        <row r="5">
          <cell r="V5">
            <v>83.480642177927805</v>
          </cell>
        </row>
      </sheetData>
      <sheetData sheetId="4"/>
      <sheetData sheetId="5">
        <row r="24">
          <cell r="B24">
            <v>26.317102416762296</v>
          </cell>
        </row>
      </sheetData>
      <sheetData sheetId="6"/>
      <sheetData sheetId="7">
        <row r="3">
          <cell r="AG3">
            <v>3044.1981096402451</v>
          </cell>
        </row>
        <row r="16">
          <cell r="F16">
            <v>0.17775824175824176</v>
          </cell>
        </row>
      </sheetData>
      <sheetData sheetId="8"/>
      <sheetData sheetId="9">
        <row r="4">
          <cell r="H4">
            <v>263.72100900454114</v>
          </cell>
        </row>
      </sheetData>
      <sheetData sheetId="10">
        <row r="4">
          <cell r="B4">
            <v>142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agr. parametrai"/>
      <sheetName val="Chronologija"/>
      <sheetName val="Termoporos"/>
      <sheetName val="Keithley Matavimai"/>
      <sheetName val="Dūmų debito nustatymas"/>
      <sheetName val="Silumos kiekio nustat."/>
      <sheetName val="Šilumos kiekio kitimas"/>
      <sheetName val="Alfa"/>
      <sheetName val="Sheet1"/>
      <sheetName val="Nu kitimas"/>
      <sheetName val="Kondensacijos efektyvumas"/>
    </sheetNames>
    <sheetDataSet>
      <sheetData sheetId="0"/>
      <sheetData sheetId="1"/>
      <sheetData sheetId="2"/>
      <sheetData sheetId="3">
        <row r="5">
          <cell r="V5">
            <v>143.71723808422772</v>
          </cell>
        </row>
      </sheetData>
      <sheetData sheetId="4"/>
      <sheetData sheetId="5">
        <row r="24">
          <cell r="B24">
            <v>26.820340802714338</v>
          </cell>
        </row>
      </sheetData>
      <sheetData sheetId="6"/>
      <sheetData sheetId="7">
        <row r="3">
          <cell r="AG3">
            <v>2999.2777996858817</v>
          </cell>
        </row>
        <row r="16">
          <cell r="F16">
            <v>0.17757377049180328</v>
          </cell>
        </row>
      </sheetData>
      <sheetData sheetId="8"/>
      <sheetData sheetId="9">
        <row r="4">
          <cell r="H4">
            <v>116.19484846590078</v>
          </cell>
        </row>
      </sheetData>
      <sheetData sheetId="10">
        <row r="4">
          <cell r="B4">
            <v>12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agr. parametrai"/>
      <sheetName val="Chronologija"/>
      <sheetName val="Termoporos"/>
      <sheetName val="Keithley Matavimai"/>
      <sheetName val="Dūmų debito nustatymas"/>
      <sheetName val="Silumos kiekio nustat."/>
      <sheetName val="Šilumos kiekio kitimas"/>
      <sheetName val="Alfa"/>
      <sheetName val="Sheet1"/>
      <sheetName val="Nu kitimas"/>
      <sheetName val="Kondensacijos efektyvumas"/>
    </sheetNames>
    <sheetDataSet>
      <sheetData sheetId="0"/>
      <sheetData sheetId="1"/>
      <sheetData sheetId="2"/>
      <sheetData sheetId="3">
        <row r="5">
          <cell r="V5">
            <v>204.92857884161126</v>
          </cell>
        </row>
      </sheetData>
      <sheetData sheetId="4"/>
      <sheetData sheetId="5">
        <row r="24">
          <cell r="B24">
            <v>29.255026286832376</v>
          </cell>
        </row>
      </sheetData>
      <sheetData sheetId="6"/>
      <sheetData sheetId="7">
        <row r="3">
          <cell r="AG3">
            <v>2973.4487420391074</v>
          </cell>
        </row>
        <row r="16">
          <cell r="F16">
            <v>0.17799999999999999</v>
          </cell>
        </row>
      </sheetData>
      <sheetData sheetId="8"/>
      <sheetData sheetId="9">
        <row r="4">
          <cell r="I4">
            <v>82.79657733563468</v>
          </cell>
        </row>
      </sheetData>
      <sheetData sheetId="10">
        <row r="4">
          <cell r="B4">
            <v>7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agr. parametrai"/>
      <sheetName val="Chronologija"/>
      <sheetName val="Termoporos"/>
      <sheetName val="Keithley Matavimai"/>
      <sheetName val="Dūmų debito nustatymas"/>
      <sheetName val="Silumos kiekio nustat."/>
      <sheetName val="Šilumos kiekio kitimas"/>
      <sheetName val="Alfa"/>
      <sheetName val="Sheet1"/>
      <sheetName val="Nu kitimas"/>
      <sheetName val="Kondensacijos efektyvumas"/>
    </sheetNames>
    <sheetDataSet>
      <sheetData sheetId="0"/>
      <sheetData sheetId="1"/>
      <sheetData sheetId="2"/>
      <sheetData sheetId="3">
        <row r="5">
          <cell r="V5">
            <v>84.784445670379895</v>
          </cell>
        </row>
      </sheetData>
      <sheetData sheetId="4"/>
      <sheetData sheetId="5">
        <row r="24">
          <cell r="B24">
            <v>19.413859476402223</v>
          </cell>
        </row>
      </sheetData>
      <sheetData sheetId="6"/>
      <sheetData sheetId="7">
        <row r="3">
          <cell r="AG3">
            <v>4999.683849903724</v>
          </cell>
        </row>
        <row r="16">
          <cell r="F16">
            <v>0.17986956521739134</v>
          </cell>
        </row>
      </sheetData>
      <sheetData sheetId="8"/>
      <sheetData sheetId="9">
        <row r="4">
          <cell r="I4">
            <v>215.41992237826889</v>
          </cell>
        </row>
      </sheetData>
      <sheetData sheetId="10">
        <row r="4">
          <cell r="B4">
            <v>20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agr. parametrai"/>
      <sheetName val="Chronologija"/>
      <sheetName val="Termoporos"/>
      <sheetName val="Dūmų debito nustatymas"/>
      <sheetName val="Keithley Matavimai"/>
      <sheetName val="Silumos kiekio nustat."/>
      <sheetName val="Šilumos kiekio kitimas"/>
      <sheetName val="Alfa"/>
      <sheetName val="Sheet1"/>
      <sheetName val="Nu kitimas"/>
      <sheetName val="Kondensacijos efektyvumas"/>
    </sheetNames>
    <sheetDataSet>
      <sheetData sheetId="0"/>
      <sheetData sheetId="1"/>
      <sheetData sheetId="2"/>
      <sheetData sheetId="3"/>
      <sheetData sheetId="4">
        <row r="5">
          <cell r="V5">
            <v>144.53335054458341</v>
          </cell>
        </row>
      </sheetData>
      <sheetData sheetId="5">
        <row r="24">
          <cell r="B24">
            <v>21.283935791356154</v>
          </cell>
        </row>
      </sheetData>
      <sheetData sheetId="6"/>
      <sheetData sheetId="7">
        <row r="3">
          <cell r="AG3">
            <v>4942.9028750039515</v>
          </cell>
        </row>
        <row r="16">
          <cell r="F16">
            <v>0.19549450549450548</v>
          </cell>
        </row>
      </sheetData>
      <sheetData sheetId="8"/>
      <sheetData sheetId="9">
        <row r="4">
          <cell r="G4">
            <v>120.34902320735895</v>
          </cell>
        </row>
      </sheetData>
      <sheetData sheetId="10">
        <row r="4">
          <cell r="B4">
            <v>9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agr. parametrai"/>
      <sheetName val="Chronologija"/>
      <sheetName val="Termoporos"/>
      <sheetName val="Dūmų debito nustatymas"/>
      <sheetName val="Keithley Matavimai"/>
      <sheetName val="Šilumos kiekio kitimas"/>
      <sheetName val="Silumos kiekio nustat."/>
      <sheetName val="Alfa"/>
      <sheetName val="Sheet1"/>
      <sheetName val="Nu kitimas"/>
      <sheetName val="Kondensacijos efektyvumas"/>
    </sheetNames>
    <sheetDataSet>
      <sheetData sheetId="0"/>
      <sheetData sheetId="1"/>
      <sheetData sheetId="2"/>
      <sheetData sheetId="3"/>
      <sheetData sheetId="4">
        <row r="5">
          <cell r="V5">
            <v>204.12360969653739</v>
          </cell>
        </row>
      </sheetData>
      <sheetData sheetId="5"/>
      <sheetData sheetId="6">
        <row r="24">
          <cell r="B24">
            <v>23.696639302519323</v>
          </cell>
        </row>
      </sheetData>
      <sheetData sheetId="7">
        <row r="3">
          <cell r="AG3">
            <v>4992.2508432021577</v>
          </cell>
        </row>
        <row r="16">
          <cell r="F16">
            <v>0.22546666666666668</v>
          </cell>
        </row>
      </sheetData>
      <sheetData sheetId="8"/>
      <sheetData sheetId="9">
        <row r="4">
          <cell r="G4">
            <v>93.307358420998597</v>
          </cell>
        </row>
      </sheetData>
      <sheetData sheetId="10">
        <row r="4">
          <cell r="B4">
            <v>0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agr. parametrai"/>
      <sheetName val="Chronologija"/>
      <sheetName val="Termoporos"/>
      <sheetName val="Keithley Matavimai"/>
      <sheetName val="Dūmų debito nustatymas"/>
      <sheetName val="Silumos kiekio nustat."/>
      <sheetName val="Šilumos kiekio kitimas"/>
      <sheetName val="Alfa"/>
      <sheetName val="Sheet1"/>
      <sheetName val="Nu kitimas"/>
      <sheetName val="Kondensacijos efektyvumas"/>
      <sheetName val="Sheet2"/>
    </sheetNames>
    <sheetDataSet>
      <sheetData sheetId="0"/>
      <sheetData sheetId="1"/>
      <sheetData sheetId="2"/>
      <sheetData sheetId="3">
        <row r="5">
          <cell r="V5">
            <v>203.95066546168559</v>
          </cell>
        </row>
      </sheetData>
      <sheetData sheetId="4"/>
      <sheetData sheetId="5">
        <row r="24">
          <cell r="B24">
            <v>20.307231117807369</v>
          </cell>
        </row>
      </sheetData>
      <sheetData sheetId="6"/>
      <sheetData sheetId="7">
        <row r="3">
          <cell r="AG3">
            <v>9949.9375255390605</v>
          </cell>
        </row>
        <row r="16">
          <cell r="F16">
            <v>0.32833333333333337</v>
          </cell>
        </row>
      </sheetData>
      <sheetData sheetId="8"/>
      <sheetData sheetId="9">
        <row r="4">
          <cell r="G4">
            <v>142.99711264757735</v>
          </cell>
        </row>
      </sheetData>
      <sheetData sheetId="10">
        <row r="4">
          <cell r="B4">
            <v>0</v>
          </cell>
        </row>
      </sheetData>
      <sheetData sheetId="1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agr. parametrai"/>
      <sheetName val="Chronologija"/>
      <sheetName val="Termoporos"/>
      <sheetName val="Keithley Matavimai"/>
      <sheetName val="Dūmų debito nustatymas"/>
      <sheetName val="Silumos kiekio nustat."/>
      <sheetName val="Šilumos kiekio kitimas"/>
      <sheetName val="Alfa"/>
      <sheetName val="Sheet1"/>
      <sheetName val="Nu kitimas"/>
      <sheetName val="Kondensacijos efektyvumas"/>
    </sheetNames>
    <sheetDataSet>
      <sheetData sheetId="0"/>
      <sheetData sheetId="1"/>
      <sheetData sheetId="2"/>
      <sheetData sheetId="3">
        <row r="5">
          <cell r="V5">
            <v>83.662503378285749</v>
          </cell>
        </row>
      </sheetData>
      <sheetData sheetId="4"/>
      <sheetData sheetId="5">
        <row r="24">
          <cell r="B24">
            <v>18.174532179368793</v>
          </cell>
        </row>
      </sheetData>
      <sheetData sheetId="6"/>
      <sheetData sheetId="7">
        <row r="3">
          <cell r="AG3">
            <v>10215.850553824905</v>
          </cell>
        </row>
        <row r="16">
          <cell r="F16">
            <v>0.33490909090909093</v>
          </cell>
        </row>
      </sheetData>
      <sheetData sheetId="8"/>
      <sheetData sheetId="9">
        <row r="4">
          <cell r="L4">
            <v>405.79063074121314</v>
          </cell>
        </row>
      </sheetData>
      <sheetData sheetId="10">
        <row r="4">
          <cell r="B4">
            <v>17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agr. parametrai"/>
      <sheetName val="Chronologija"/>
      <sheetName val="Termoporos"/>
      <sheetName val="Keithley Matavimai"/>
      <sheetName val="Dūmų debito nustatymas"/>
      <sheetName val="Silumos kiekio nustat."/>
      <sheetName val="Šilumos kiekio kitimas"/>
      <sheetName val="Alfa"/>
      <sheetName val="Sheet1"/>
      <sheetName val="Nu kitimas"/>
      <sheetName val="Kondensacijos efektyvumas"/>
    </sheetNames>
    <sheetDataSet>
      <sheetData sheetId="0"/>
      <sheetData sheetId="1"/>
      <sheetData sheetId="2"/>
      <sheetData sheetId="3">
        <row r="5">
          <cell r="V5">
            <v>84.311887758675709</v>
          </cell>
        </row>
      </sheetData>
      <sheetData sheetId="4"/>
      <sheetData sheetId="5">
        <row r="24">
          <cell r="B24">
            <v>17.334565876236468</v>
          </cell>
        </row>
      </sheetData>
      <sheetData sheetId="6"/>
      <sheetData sheetId="7">
        <row r="3">
          <cell r="AG3">
            <v>10200.384626322466</v>
          </cell>
        </row>
        <row r="16">
          <cell r="F16">
            <v>0.30913761467889916</v>
          </cell>
        </row>
      </sheetData>
      <sheetData sheetId="8"/>
      <sheetData sheetId="9">
        <row r="4">
          <cell r="I4">
            <v>360.497065387725</v>
          </cell>
        </row>
      </sheetData>
      <sheetData sheetId="10">
        <row r="4">
          <cell r="B4">
            <v>14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agr. parametrai"/>
      <sheetName val="Chronologija"/>
      <sheetName val="Termoporos"/>
      <sheetName val="Keithley Matavimai"/>
      <sheetName val="Dūmų debito nustatymas"/>
      <sheetName val="Silumos kiekio nustat."/>
      <sheetName val="Šilumos kiekio kitimas"/>
      <sheetName val="Alfa"/>
      <sheetName val="Sheet1"/>
      <sheetName val="Nu kitimas"/>
      <sheetName val="Kondensacijos efektyvumas"/>
    </sheetNames>
    <sheetDataSet>
      <sheetData sheetId="0"/>
      <sheetData sheetId="1"/>
      <sheetData sheetId="2"/>
      <sheetData sheetId="3">
        <row r="5">
          <cell r="V5">
            <v>143.44744629335733</v>
          </cell>
        </row>
      </sheetData>
      <sheetData sheetId="4"/>
      <sheetData sheetId="5">
        <row r="24">
          <cell r="B24">
            <v>19.445363920912289</v>
          </cell>
        </row>
      </sheetData>
      <sheetData sheetId="6"/>
      <sheetData sheetId="7">
        <row r="3">
          <cell r="AG3">
            <v>10070.614860942933</v>
          </cell>
        </row>
        <row r="16">
          <cell r="F16">
            <v>0.33809174311926593</v>
          </cell>
        </row>
      </sheetData>
      <sheetData sheetId="8"/>
      <sheetData sheetId="9">
        <row r="4">
          <cell r="G4">
            <v>200.99392916016933</v>
          </cell>
        </row>
      </sheetData>
      <sheetData sheetId="10">
        <row r="4">
          <cell r="B4">
            <v>5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agr. parametrai"/>
      <sheetName val="Chronologija"/>
      <sheetName val="Termoporos"/>
      <sheetName val="Keithley Matavimai"/>
      <sheetName val="Dūmų debito nustatymas"/>
      <sheetName val="Silumos kiekio nustat."/>
      <sheetName val="Šilumos kiekio kitimas"/>
      <sheetName val="Alfa"/>
      <sheetName val="Sheet1"/>
      <sheetName val="Nu kitimas"/>
      <sheetName val="Kondensacijos efektyvumas"/>
    </sheetNames>
    <sheetDataSet>
      <sheetData sheetId="0"/>
      <sheetData sheetId="1"/>
      <sheetData sheetId="2"/>
      <sheetData sheetId="3">
        <row r="5">
          <cell r="V5">
            <v>84.482659202118114</v>
          </cell>
        </row>
      </sheetData>
      <sheetData sheetId="4"/>
      <sheetData sheetId="5">
        <row r="24">
          <cell r="B24">
            <v>35.455755921843405</v>
          </cell>
        </row>
      </sheetData>
      <sheetData sheetId="6"/>
      <sheetData sheetId="7">
        <row r="3">
          <cell r="AG3">
            <v>3260.1891220831149</v>
          </cell>
        </row>
        <row r="16">
          <cell r="F16">
            <v>8.5648351648351662E-2</v>
          </cell>
        </row>
      </sheetData>
      <sheetData sheetId="8"/>
      <sheetData sheetId="9">
        <row r="4">
          <cell r="M4">
            <v>147.66027373636746</v>
          </cell>
        </row>
      </sheetData>
      <sheetData sheetId="10">
        <row r="4">
          <cell r="B4">
            <v>237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agr. parametrai"/>
      <sheetName val="Chronologija"/>
      <sheetName val="Termoporos"/>
      <sheetName val="Keithley Matavimai"/>
      <sheetName val="Dūmų debito nustatymas"/>
      <sheetName val="Silumos kiekio nustat."/>
      <sheetName val="Šilumos kiekio kitimas"/>
      <sheetName val="Alfa"/>
      <sheetName val="Sheet1"/>
      <sheetName val="Nu kitimas"/>
      <sheetName val="Kondensacijos efektyvumas"/>
    </sheetNames>
    <sheetDataSet>
      <sheetData sheetId="0"/>
      <sheetData sheetId="1"/>
      <sheetData sheetId="2"/>
      <sheetData sheetId="3">
        <row r="5">
          <cell r="V5">
            <v>144.77390637913996</v>
          </cell>
        </row>
      </sheetData>
      <sheetData sheetId="4"/>
      <sheetData sheetId="5">
        <row r="24">
          <cell r="B24">
            <v>37.936305840655542</v>
          </cell>
        </row>
      </sheetData>
      <sheetData sheetId="6"/>
      <sheetData sheetId="7">
        <row r="3">
          <cell r="AG3">
            <v>3019.6438466618793</v>
          </cell>
        </row>
        <row r="16">
          <cell r="F16">
            <v>7.2596685082872939E-2</v>
          </cell>
        </row>
      </sheetData>
      <sheetData sheetId="8"/>
      <sheetData sheetId="9">
        <row r="4">
          <cell r="K4">
            <v>67.623856693408428</v>
          </cell>
        </row>
      </sheetData>
      <sheetData sheetId="10">
        <row r="4">
          <cell r="B4">
            <v>4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agr. parametrai"/>
      <sheetName val="Chronologija"/>
      <sheetName val="Termoporos"/>
      <sheetName val="Keithley Matavimai"/>
      <sheetName val="Dūmų debito nustatymas"/>
      <sheetName val="Silumos kiekio nustat."/>
      <sheetName val="Šilumos kiekio kitimas"/>
      <sheetName val="Alfa"/>
      <sheetName val="Sheet1"/>
      <sheetName val="Nu kitimas"/>
      <sheetName val="Kondensacijos efektyvumas"/>
    </sheetNames>
    <sheetDataSet>
      <sheetData sheetId="0"/>
      <sheetData sheetId="1"/>
      <sheetData sheetId="2"/>
      <sheetData sheetId="3">
        <row r="5">
          <cell r="V5">
            <v>202.43841643459481</v>
          </cell>
        </row>
      </sheetData>
      <sheetData sheetId="4"/>
      <sheetData sheetId="5">
        <row r="24">
          <cell r="B24">
            <v>42.500429812415291</v>
          </cell>
        </row>
      </sheetData>
      <sheetData sheetId="6"/>
      <sheetData sheetId="7">
        <row r="3">
          <cell r="AG3">
            <v>2976.445237398314</v>
          </cell>
        </row>
        <row r="16">
          <cell r="F16">
            <v>6.5199999999999994E-2</v>
          </cell>
        </row>
      </sheetData>
      <sheetData sheetId="8"/>
      <sheetData sheetId="9">
        <row r="4">
          <cell r="I4">
            <v>47.189729010840153</v>
          </cell>
        </row>
      </sheetData>
      <sheetData sheetId="10">
        <row r="4">
          <cell r="B4">
            <v>3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agr. parametrai"/>
      <sheetName val="Chronologija"/>
      <sheetName val="Termoporos"/>
      <sheetName val="Keithley Matavimai"/>
      <sheetName val="Dūmų debito nustatymas"/>
      <sheetName val="Silumos kiekio nustat."/>
      <sheetName val="Šilumos kiekio kitimas"/>
      <sheetName val="Alfa"/>
      <sheetName val="Sheet1"/>
      <sheetName val="Nu kitimas"/>
      <sheetName val="Kondensacijos efektyvumas"/>
    </sheetNames>
    <sheetDataSet>
      <sheetData sheetId="0"/>
      <sheetData sheetId="1"/>
      <sheetData sheetId="2"/>
      <sheetData sheetId="3">
        <row r="5">
          <cell r="V5">
            <v>84.337657737826945</v>
          </cell>
        </row>
      </sheetData>
      <sheetData sheetId="4"/>
      <sheetData sheetId="5">
        <row r="24">
          <cell r="B24">
            <v>29.311373807518159</v>
          </cell>
        </row>
      </sheetData>
      <sheetData sheetId="6"/>
      <sheetData sheetId="7">
        <row r="3">
          <cell r="AG3">
            <v>4987.8299451951443</v>
          </cell>
        </row>
        <row r="16">
          <cell r="F16">
            <v>0.10164473684210526</v>
          </cell>
        </row>
      </sheetData>
      <sheetData sheetId="8"/>
      <sheetData sheetId="9">
        <row r="4">
          <cell r="J4">
            <v>146.22773294537834</v>
          </cell>
        </row>
      </sheetData>
      <sheetData sheetId="10">
        <row r="4">
          <cell r="B4">
            <v>12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agr. parametrai"/>
      <sheetName val="Chronologija"/>
      <sheetName val="Termoporos"/>
      <sheetName val="Keithley Matavimai"/>
      <sheetName val="Dūmų debito nustatymas"/>
      <sheetName val="Silumos kiekio nustat."/>
      <sheetName val="Šilumos kiekio kitimas"/>
      <sheetName val="Alfa"/>
      <sheetName val="Sheet1"/>
      <sheetName val="Nu kitimas"/>
      <sheetName val="Kondensacijos efektyvumas"/>
    </sheetNames>
    <sheetDataSet>
      <sheetData sheetId="0"/>
      <sheetData sheetId="1"/>
      <sheetData sheetId="2"/>
      <sheetData sheetId="3">
        <row r="5">
          <cell r="V5">
            <v>144.5736898243614</v>
          </cell>
        </row>
      </sheetData>
      <sheetData sheetId="4"/>
      <sheetData sheetId="5">
        <row r="24">
          <cell r="B24">
            <v>31.717095158633946</v>
          </cell>
        </row>
      </sheetData>
      <sheetData sheetId="6"/>
      <sheetData sheetId="7">
        <row r="3">
          <cell r="AG3">
            <v>5034.3147011222072</v>
          </cell>
        </row>
        <row r="16">
          <cell r="F16">
            <v>8.1016574585635354E-2</v>
          </cell>
        </row>
      </sheetData>
      <sheetData sheetId="8"/>
      <sheetData sheetId="9">
        <row r="4">
          <cell r="J4">
            <v>68.263351623641668</v>
          </cell>
        </row>
      </sheetData>
      <sheetData sheetId="10">
        <row r="4">
          <cell r="B4">
            <v>1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agr. parametrai"/>
      <sheetName val="Chronologija"/>
      <sheetName val="Termoporos"/>
      <sheetName val="Keithley Matavimai"/>
      <sheetName val="Dūmų debito nustatymas"/>
      <sheetName val="Silumos kiekio nustat."/>
      <sheetName val="Šilumos kiekio kitimas"/>
      <sheetName val="Alfa"/>
      <sheetName val="Sheet1"/>
      <sheetName val="Nu kitimas"/>
      <sheetName val="Kondensacijos efektyvumas"/>
    </sheetNames>
    <sheetDataSet>
      <sheetData sheetId="0"/>
      <sheetData sheetId="1"/>
      <sheetData sheetId="2"/>
      <sheetData sheetId="3">
        <row r="5">
          <cell r="V5">
            <v>205.10895917475014</v>
          </cell>
        </row>
      </sheetData>
      <sheetData sheetId="4"/>
      <sheetData sheetId="5">
        <row r="24">
          <cell r="B24">
            <v>35.892479175975431</v>
          </cell>
        </row>
      </sheetData>
      <sheetData sheetId="6"/>
      <sheetData sheetId="7">
        <row r="3">
          <cell r="AG3">
            <v>4924.7570206887713</v>
          </cell>
        </row>
        <row r="16">
          <cell r="F16">
            <v>6.6461538461538461E-2</v>
          </cell>
        </row>
      </sheetData>
      <sheetData sheetId="8"/>
      <sheetData sheetId="9">
        <row r="4">
          <cell r="G4">
            <v>48.896379352481013</v>
          </cell>
        </row>
      </sheetData>
      <sheetData sheetId="10">
        <row r="4">
          <cell r="B4">
            <v>0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agr. parametrai"/>
      <sheetName val="Chronologija"/>
      <sheetName val="Termoporos"/>
      <sheetName val="Keithley Matavimai"/>
      <sheetName val="Dūmų debito nustatymas"/>
      <sheetName val="Silumos kiekio nustat."/>
      <sheetName val="Šilumos kiekio kitimas"/>
      <sheetName val="Alfa"/>
      <sheetName val="Sheet1"/>
      <sheetName val="Nu kitimas"/>
      <sheetName val="Kondensacijos efektyvumas"/>
    </sheetNames>
    <sheetDataSet>
      <sheetData sheetId="0"/>
      <sheetData sheetId="1"/>
      <sheetData sheetId="2"/>
      <sheetData sheetId="3">
        <row r="5">
          <cell r="V5">
            <v>85.016596017204762</v>
          </cell>
        </row>
      </sheetData>
      <sheetData sheetId="4"/>
      <sheetData sheetId="5">
        <row r="24">
          <cell r="B24">
            <v>21.503131705166801</v>
          </cell>
        </row>
      </sheetData>
      <sheetData sheetId="6"/>
      <sheetData sheetId="7">
        <row r="3">
          <cell r="AG3">
            <v>9900.3547421090625</v>
          </cell>
        </row>
        <row r="16">
          <cell r="F16">
            <v>0.1089</v>
          </cell>
        </row>
      </sheetData>
      <sheetData sheetId="8"/>
      <sheetData sheetId="9">
        <row r="4">
          <cell r="G4">
            <v>156.23228413978026</v>
          </cell>
        </row>
      </sheetData>
      <sheetData sheetId="10">
        <row r="4">
          <cell r="B4">
            <v>9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hronologija"/>
      <sheetName val="Pagr. parametrai"/>
      <sheetName val="Termoporos"/>
      <sheetName val="Keithley Matavimai"/>
      <sheetName val="Dūmų debito nustatymas"/>
      <sheetName val="Silumos kiekio nustat."/>
      <sheetName val="Šilumos kiekio kitimas"/>
      <sheetName val="Alfa"/>
      <sheetName val="Sheet1"/>
      <sheetName val="Nu kitimas"/>
      <sheetName val="Kondensacijos efektyvumas"/>
    </sheetNames>
    <sheetDataSet>
      <sheetData sheetId="0"/>
      <sheetData sheetId="1"/>
      <sheetData sheetId="2"/>
      <sheetData sheetId="3">
        <row r="5">
          <cell r="V5">
            <v>144.40806275554803</v>
          </cell>
        </row>
      </sheetData>
      <sheetData sheetId="4"/>
      <sheetData sheetId="5">
        <row r="24">
          <cell r="B24">
            <v>23.771314699503577</v>
          </cell>
        </row>
      </sheetData>
      <sheetData sheetId="6"/>
      <sheetData sheetId="7">
        <row r="3">
          <cell r="AG3">
            <v>10072.865030638213</v>
          </cell>
        </row>
        <row r="16">
          <cell r="F16">
            <v>9.4799999999999982E-2</v>
          </cell>
        </row>
      </sheetData>
      <sheetData sheetId="8"/>
      <sheetData sheetId="9">
        <row r="4">
          <cell r="I4">
            <v>95.803675356185948</v>
          </cell>
        </row>
      </sheetData>
      <sheetData sheetId="10">
        <row r="4">
          <cell r="B4">
            <v>0</v>
          </cell>
        </row>
      </sheetData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hronologija"/>
      <sheetName val="Pagr. parametrai"/>
      <sheetName val="Termoporos"/>
      <sheetName val="Keithley Matavimai"/>
      <sheetName val="Dūmų debito nustatymas"/>
      <sheetName val="Silumos kiekio nustat."/>
      <sheetName val="Šilumos kiekio kitimas"/>
      <sheetName val="Alfa"/>
      <sheetName val="Sheet1"/>
      <sheetName val="Nu kitimas"/>
      <sheetName val="Kondensacijos efektyvumas"/>
    </sheetNames>
    <sheetDataSet>
      <sheetData sheetId="0"/>
      <sheetData sheetId="1"/>
      <sheetData sheetId="2"/>
      <sheetData sheetId="3">
        <row r="5">
          <cell r="V5">
            <v>204.50360298243439</v>
          </cell>
        </row>
      </sheetData>
      <sheetData sheetId="4"/>
      <sheetData sheetId="5">
        <row r="24">
          <cell r="B24">
            <v>27.2337687369536</v>
          </cell>
        </row>
      </sheetData>
      <sheetData sheetId="6"/>
      <sheetData sheetId="7">
        <row r="3">
          <cell r="AG3">
            <v>9930.9741464225281</v>
          </cell>
        </row>
        <row r="16">
          <cell r="F16">
            <v>9.0700000000000003E-2</v>
          </cell>
        </row>
      </sheetData>
      <sheetData sheetId="8"/>
      <sheetData sheetId="9">
        <row r="4">
          <cell r="G4">
            <v>69.58564959661372</v>
          </cell>
        </row>
      </sheetData>
      <sheetData sheetId="10">
        <row r="4">
          <cell r="B4">
            <v>0</v>
          </cell>
        </row>
      </sheetData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agr. parametrai"/>
      <sheetName val="Chronologija"/>
      <sheetName val="Termoporos"/>
      <sheetName val="Keithley Matavimai"/>
      <sheetName val="Dūmų debito nustatymas"/>
      <sheetName val="Silumos kiekio nustat."/>
      <sheetName val="Šilumos kiekio kitimas"/>
      <sheetName val="Alfa"/>
      <sheetName val="Sheet1"/>
      <sheetName val="Nu kitimas"/>
      <sheetName val="Kondensacijos efektyvumas"/>
    </sheetNames>
    <sheetDataSet>
      <sheetData sheetId="0"/>
      <sheetData sheetId="1"/>
      <sheetData sheetId="2"/>
      <sheetData sheetId="3">
        <row r="5">
          <cell r="V5">
            <v>84.129499449098432</v>
          </cell>
        </row>
      </sheetData>
      <sheetData sheetId="4"/>
      <sheetData sheetId="5">
        <row r="24">
          <cell r="B24">
            <v>14.451748088720805</v>
          </cell>
        </row>
      </sheetData>
      <sheetData sheetId="6"/>
      <sheetData sheetId="7">
        <row r="3">
          <cell r="AG3">
            <v>3149.3788418146319</v>
          </cell>
        </row>
        <row r="16">
          <cell r="F16">
            <v>0.10793478260869566</v>
          </cell>
        </row>
      </sheetData>
      <sheetData sheetId="8"/>
      <sheetData sheetId="9">
        <row r="4">
          <cell r="I4">
            <v>130.16204889302296</v>
          </cell>
        </row>
      </sheetData>
      <sheetData sheetId="10">
        <row r="4">
          <cell r="B4">
            <v>15</v>
          </cell>
        </row>
      </sheetData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agr. parametrai"/>
      <sheetName val="Chronologija"/>
      <sheetName val="Termoporos"/>
      <sheetName val="Keithley Matavimai"/>
      <sheetName val="Dūmų debito nustatymas"/>
      <sheetName val="Silumos kiekio nustat."/>
      <sheetName val="Šilumos kiekio kitimas"/>
      <sheetName val="Alfa"/>
      <sheetName val="Sheet1"/>
      <sheetName val="Nu kitimas"/>
      <sheetName val="Kondensacijos efektyvumas"/>
    </sheetNames>
    <sheetDataSet>
      <sheetData sheetId="0"/>
      <sheetData sheetId="1"/>
      <sheetData sheetId="2"/>
      <sheetData sheetId="3">
        <row r="5">
          <cell r="V5">
            <v>145.22226434606853</v>
          </cell>
        </row>
      </sheetData>
      <sheetData sheetId="4"/>
      <sheetData sheetId="5">
        <row r="24">
          <cell r="B24">
            <v>16.27091156702922</v>
          </cell>
        </row>
      </sheetData>
      <sheetData sheetId="6"/>
      <sheetData sheetId="7">
        <row r="3">
          <cell r="AG3">
            <v>3008.4680884678137</v>
          </cell>
        </row>
        <row r="16">
          <cell r="F16">
            <v>9.8585635359115992E-2</v>
          </cell>
        </row>
      </sheetData>
      <sheetData sheetId="8"/>
      <sheetData sheetId="9">
        <row r="4">
          <cell r="G4">
            <v>67.959073978172228</v>
          </cell>
        </row>
      </sheetData>
      <sheetData sheetId="10">
        <row r="4">
          <cell r="B4">
            <v>5</v>
          </cell>
        </row>
      </sheetData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agr. parametrai"/>
      <sheetName val="Chronologija"/>
      <sheetName val="Termoporos"/>
      <sheetName val="Keithley Matavimai"/>
      <sheetName val="Dūmų debito nustatymas"/>
      <sheetName val="Silumos kiekio nustat."/>
      <sheetName val="Šilumos kiekio kitimas"/>
      <sheetName val="Alfa"/>
      <sheetName val="Sheet1"/>
      <sheetName val="Nu kitimas"/>
      <sheetName val="Kondensacijos efektyvumas"/>
    </sheetNames>
    <sheetDataSet>
      <sheetData sheetId="0"/>
      <sheetData sheetId="1"/>
      <sheetData sheetId="2"/>
      <sheetData sheetId="3">
        <row r="5">
          <cell r="V5">
            <v>205.05435631029445</v>
          </cell>
        </row>
      </sheetData>
      <sheetData sheetId="4"/>
      <sheetData sheetId="5">
        <row r="24">
          <cell r="B24">
            <v>16.956057679764257</v>
          </cell>
        </row>
      </sheetData>
      <sheetData sheetId="6"/>
      <sheetData sheetId="7">
        <row r="3">
          <cell r="AG3">
            <v>2958.2105040368783</v>
          </cell>
        </row>
        <row r="16">
          <cell r="F16">
            <v>9.4533333333333344E-2</v>
          </cell>
        </row>
      </sheetData>
      <sheetData sheetId="8"/>
      <sheetData sheetId="9">
        <row r="4">
          <cell r="G4">
            <v>51.533664615849482</v>
          </cell>
        </row>
      </sheetData>
      <sheetData sheetId="10">
        <row r="4">
          <cell r="B4">
            <v>4</v>
          </cell>
        </row>
      </sheetData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agr. parametrai"/>
      <sheetName val="Chronologija"/>
      <sheetName val="Termoporos"/>
      <sheetName val="Keithley Matavimai"/>
      <sheetName val="Dūmų debito nustatymas"/>
      <sheetName val="Silumos kiekio nustat."/>
      <sheetName val="Šilumos kiekio kitimas"/>
      <sheetName val="Alfa"/>
      <sheetName val="Sheet1"/>
      <sheetName val="Nu kitimas"/>
      <sheetName val="Kondensacijos efektyvumas"/>
    </sheetNames>
    <sheetDataSet>
      <sheetData sheetId="0"/>
      <sheetData sheetId="1"/>
      <sheetData sheetId="2"/>
      <sheetData sheetId="3">
        <row r="5">
          <cell r="V5">
            <v>204.5873358801675</v>
          </cell>
        </row>
      </sheetData>
      <sheetData sheetId="4"/>
      <sheetData sheetId="5">
        <row r="24">
          <cell r="B24">
            <v>15.591410083848771</v>
          </cell>
        </row>
      </sheetData>
      <sheetData sheetId="6"/>
      <sheetData sheetId="7">
        <row r="3">
          <cell r="AG3">
            <v>4914.7396825626665</v>
          </cell>
        </row>
        <row r="16">
          <cell r="F16">
            <v>0.10246666666666666</v>
          </cell>
        </row>
      </sheetData>
      <sheetData sheetId="8"/>
      <sheetData sheetId="9">
        <row r="4">
          <cell r="H4">
            <v>70.710641893925825</v>
          </cell>
        </row>
      </sheetData>
      <sheetData sheetId="10">
        <row r="4">
          <cell r="B4">
            <v>0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agr. parametrai"/>
      <sheetName val="Chronologija"/>
      <sheetName val="Termoporos"/>
      <sheetName val="Keithley Matavimai"/>
      <sheetName val="Dūmų debito nustatymas"/>
      <sheetName val="Silumos kiekio nustat."/>
      <sheetName val="Šilumos kiekio kitimas"/>
      <sheetName val="Alfa"/>
      <sheetName val="Sheet1"/>
      <sheetName val="Nu kitimas"/>
      <sheetName val="Kondensacijos efektyvumas"/>
    </sheetNames>
    <sheetDataSet>
      <sheetData sheetId="0"/>
      <sheetData sheetId="1"/>
      <sheetData sheetId="2"/>
      <sheetData sheetId="3">
        <row r="5">
          <cell r="V5">
            <v>84.712778469958764</v>
          </cell>
        </row>
      </sheetData>
      <sheetData sheetId="4"/>
      <sheetData sheetId="5">
        <row r="24">
          <cell r="B24">
            <v>13.23826979135864</v>
          </cell>
        </row>
      </sheetData>
      <sheetData sheetId="6"/>
      <sheetData sheetId="7">
        <row r="3">
          <cell r="AG3">
            <v>4989.8591270278348</v>
          </cell>
        </row>
        <row r="16">
          <cell r="F16">
            <v>0.11706666666666668</v>
          </cell>
        </row>
      </sheetData>
      <sheetData sheetId="8"/>
      <sheetData sheetId="9">
        <row r="4">
          <cell r="H4">
            <v>138.98267292788609</v>
          </cell>
        </row>
      </sheetData>
      <sheetData sheetId="10">
        <row r="4">
          <cell r="B4">
            <v>18</v>
          </cell>
        </row>
      </sheetData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agr. parametrai"/>
      <sheetName val="Chronologija"/>
      <sheetName val="Termoporos"/>
      <sheetName val="Keithley Matavimai"/>
      <sheetName val="Dūmų debito nustatymas"/>
      <sheetName val="Silumos kiekio nustat."/>
      <sheetName val="Šilumos kiekio kitimas"/>
      <sheetName val="Alfa"/>
      <sheetName val="Sheet1"/>
      <sheetName val="Nu kitimas"/>
      <sheetName val="Kondensacijos efektyvumas"/>
    </sheetNames>
    <sheetDataSet>
      <sheetData sheetId="0"/>
      <sheetData sheetId="1"/>
      <sheetData sheetId="2"/>
      <sheetData sheetId="3">
        <row r="5">
          <cell r="V5">
            <v>142.44659535860339</v>
          </cell>
        </row>
      </sheetData>
      <sheetData sheetId="4"/>
      <sheetData sheetId="5">
        <row r="24">
          <cell r="B24">
            <v>14.424092290542957</v>
          </cell>
        </row>
      </sheetData>
      <sheetData sheetId="6"/>
      <sheetData sheetId="7">
        <row r="3">
          <cell r="AG3">
            <v>5103.0315800152812</v>
          </cell>
        </row>
        <row r="16">
          <cell r="F16">
            <v>0.11326666666666665</v>
          </cell>
        </row>
      </sheetData>
      <sheetData sheetId="8"/>
      <sheetData sheetId="9">
        <row r="4">
          <cell r="G4">
            <v>86.413205598208705</v>
          </cell>
        </row>
      </sheetData>
      <sheetData sheetId="10">
        <row r="4">
          <cell r="B4">
            <v>4</v>
          </cell>
        </row>
      </sheetData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agr. parametrai"/>
      <sheetName val="Chronologija"/>
      <sheetName val="Termoporos"/>
      <sheetName val="Keithley Matavimai"/>
      <sheetName val="Dūmų debito nustatymas"/>
      <sheetName val="Silumos kiekio nustat."/>
      <sheetName val="Šilumos kiekio kitimas"/>
      <sheetName val="Alfa"/>
      <sheetName val="Sheet1"/>
      <sheetName val="Nu kitimas"/>
      <sheetName val="Kondensacijos efektyvumas"/>
    </sheetNames>
    <sheetDataSet>
      <sheetData sheetId="0"/>
      <sheetData sheetId="1"/>
      <sheetData sheetId="2"/>
      <sheetData sheetId="3">
        <row r="5">
          <cell r="V5">
            <v>85.017565036517183</v>
          </cell>
        </row>
      </sheetData>
      <sheetData sheetId="4"/>
      <sheetData sheetId="5">
        <row r="24">
          <cell r="B24">
            <v>17.944871348953921</v>
          </cell>
        </row>
      </sheetData>
      <sheetData sheetId="6"/>
      <sheetData sheetId="7">
        <row r="3">
          <cell r="AG3">
            <v>3173.6536403482246</v>
          </cell>
        </row>
        <row r="16">
          <cell r="F16">
            <v>0.10186813186813187</v>
          </cell>
        </row>
      </sheetData>
      <sheetData sheetId="8"/>
      <sheetData sheetId="9">
        <row r="4">
          <cell r="I4">
            <v>132.74262461787072</v>
          </cell>
        </row>
      </sheetData>
      <sheetData sheetId="10">
        <row r="4">
          <cell r="B4">
            <v>22</v>
          </cell>
        </row>
      </sheetData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agr. parametrai"/>
      <sheetName val="Chronologija"/>
      <sheetName val="Termoporos"/>
      <sheetName val="Keithley Matavimai"/>
      <sheetName val="Dūmų debito nustatymas"/>
      <sheetName val="Silumos kiekio nustat."/>
      <sheetName val="Šilumos kiekio kitimas"/>
      <sheetName val="Alfa"/>
      <sheetName val="Sheet1"/>
      <sheetName val="Nu kitimas"/>
      <sheetName val="Kondensacijos efektyvumas"/>
    </sheetNames>
    <sheetDataSet>
      <sheetData sheetId="0"/>
      <sheetData sheetId="1"/>
      <sheetData sheetId="2"/>
      <sheetData sheetId="3">
        <row r="5">
          <cell r="V5">
            <v>143.54459729177728</v>
          </cell>
        </row>
      </sheetData>
      <sheetData sheetId="4"/>
      <sheetData sheetId="5">
        <row r="24">
          <cell r="B24">
            <v>18.832869693077619</v>
          </cell>
        </row>
      </sheetData>
      <sheetData sheetId="6"/>
      <sheetData sheetId="7">
        <row r="3">
          <cell r="AG3">
            <v>3017.7812172359777</v>
          </cell>
        </row>
        <row r="16">
          <cell r="F16">
            <v>8.9076923076923095E-2</v>
          </cell>
        </row>
      </sheetData>
      <sheetData sheetId="8"/>
      <sheetData sheetId="9">
        <row r="4">
          <cell r="I4">
            <v>68.776311415697847</v>
          </cell>
        </row>
      </sheetData>
      <sheetData sheetId="10">
        <row r="4">
          <cell r="B4">
            <v>84</v>
          </cell>
        </row>
      </sheetData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agr. parametrai"/>
      <sheetName val="Chronologija"/>
      <sheetName val="Termoporos"/>
      <sheetName val="Keithley Matavimai"/>
      <sheetName val="Dūmų debito nustatymas"/>
      <sheetName val="Silumos kiekio nustat."/>
      <sheetName val="Šilumos kiekio kitimas"/>
      <sheetName val="Alfa"/>
      <sheetName val="Sheet1"/>
      <sheetName val="Nu kitimas"/>
      <sheetName val="Kondensacijos efektyvumas"/>
    </sheetNames>
    <sheetDataSet>
      <sheetData sheetId="0"/>
      <sheetData sheetId="1"/>
      <sheetData sheetId="2"/>
      <sheetData sheetId="3">
        <row r="5">
          <cell r="V5">
            <v>84.395899225358093</v>
          </cell>
        </row>
      </sheetData>
      <sheetData sheetId="4"/>
      <sheetData sheetId="5">
        <row r="24">
          <cell r="B24">
            <v>11.071251906971519</v>
          </cell>
        </row>
      </sheetData>
      <sheetData sheetId="6"/>
      <sheetData sheetId="7">
        <row r="3">
          <cell r="AG3">
            <v>9943.7631994499934</v>
          </cell>
        </row>
        <row r="16">
          <cell r="F16">
            <v>0.13538121546961326</v>
          </cell>
        </row>
      </sheetData>
      <sheetData sheetId="8"/>
      <sheetData sheetId="9">
        <row r="4">
          <cell r="J4">
            <v>187.39854742219364</v>
          </cell>
        </row>
      </sheetData>
      <sheetData sheetId="10">
        <row r="4">
          <cell r="B4">
            <v>11</v>
          </cell>
        </row>
      </sheetData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agr. parametrai"/>
      <sheetName val="Chronologija"/>
      <sheetName val="Termoporos"/>
      <sheetName val="Keithley Matavimai"/>
      <sheetName val="Dūmų debito nustatymas"/>
      <sheetName val="Silumos kiekio nustat."/>
      <sheetName val="Šilumos kiekio kitimas"/>
      <sheetName val="Alfa"/>
      <sheetName val="Sheet1"/>
      <sheetName val="Nu kitimas"/>
      <sheetName val="Kondensacijos efektyvumas"/>
    </sheetNames>
    <sheetDataSet>
      <sheetData sheetId="0"/>
      <sheetData sheetId="1"/>
      <sheetData sheetId="2"/>
      <sheetData sheetId="3">
        <row r="5">
          <cell r="V5">
            <v>205.22475761438156</v>
          </cell>
        </row>
      </sheetData>
      <sheetData sheetId="4"/>
      <sheetData sheetId="5">
        <row r="24">
          <cell r="B24">
            <v>20.747460001544162</v>
          </cell>
        </row>
      </sheetData>
      <sheetData sheetId="6"/>
      <sheetData sheetId="7">
        <row r="3">
          <cell r="AG3">
            <v>2973.3372150078476</v>
          </cell>
        </row>
        <row r="16">
          <cell r="F16">
            <v>9.1027624309392277E-2</v>
          </cell>
        </row>
      </sheetData>
      <sheetData sheetId="8"/>
      <sheetData sheetId="9">
        <row r="4">
          <cell r="G4">
            <v>50.977051311072159</v>
          </cell>
        </row>
      </sheetData>
      <sheetData sheetId="10">
        <row r="4">
          <cell r="B4">
            <v>51</v>
          </cell>
        </row>
      </sheetData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agr. parametrai"/>
      <sheetName val="Chronologija"/>
      <sheetName val="Termoporos"/>
      <sheetName val="Keithley Matavimai"/>
      <sheetName val="Dūmų debito nustatymas"/>
      <sheetName val="Silumos kiekio nustat."/>
      <sheetName val="Šilumos kiekio kitimas"/>
      <sheetName val="Alfa"/>
      <sheetName val="Sheet1"/>
      <sheetName val="Nu kitimas"/>
      <sheetName val="Kondensacijos efektyvumas"/>
    </sheetNames>
    <sheetDataSet>
      <sheetData sheetId="0"/>
      <sheetData sheetId="1"/>
      <sheetData sheetId="2"/>
      <sheetData sheetId="3">
        <row r="5">
          <cell r="V5">
            <v>204.79912890993796</v>
          </cell>
        </row>
      </sheetData>
      <sheetData sheetId="4"/>
      <sheetData sheetId="5">
        <row r="24">
          <cell r="B24">
            <v>18.491212366830894</v>
          </cell>
        </row>
      </sheetData>
      <sheetData sheetId="6"/>
      <sheetData sheetId="7">
        <row r="3">
          <cell r="AG3">
            <v>4934.7743738161689</v>
          </cell>
        </row>
        <row r="16">
          <cell r="F16">
            <v>9.7466666666666674E-2</v>
          </cell>
        </row>
      </sheetData>
      <sheetData sheetId="8"/>
      <sheetData sheetId="9">
        <row r="4">
          <cell r="F4">
            <v>68.611242046230515</v>
          </cell>
        </row>
      </sheetData>
      <sheetData sheetId="10">
        <row r="4">
          <cell r="B4">
            <v>0</v>
          </cell>
        </row>
      </sheetData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agr. parametrai"/>
      <sheetName val="Chronologija"/>
      <sheetName val="Termoporos"/>
      <sheetName val="Keithley Matavimai"/>
      <sheetName val="Dūmų debito nustatymas"/>
      <sheetName val="Silumos kiekio nustat."/>
      <sheetName val="Šilumos kiekio kitimas"/>
      <sheetName val="Alfa"/>
      <sheetName val="Sheet1"/>
      <sheetName val="Nu kitimas"/>
      <sheetName val="Kondensacijos efektyvumas"/>
    </sheetNames>
    <sheetDataSet>
      <sheetData sheetId="0"/>
      <sheetData sheetId="1"/>
      <sheetData sheetId="2"/>
      <sheetData sheetId="3">
        <row r="5">
          <cell r="V5">
            <v>84.978498096739074</v>
          </cell>
        </row>
      </sheetData>
      <sheetData sheetId="4"/>
      <sheetData sheetId="5">
        <row r="24">
          <cell r="B24">
            <v>15.400792074267809</v>
          </cell>
        </row>
      </sheetData>
      <sheetData sheetId="6"/>
      <sheetData sheetId="7">
        <row r="3">
          <cell r="AG3">
            <v>4986.8887590186114</v>
          </cell>
        </row>
        <row r="16">
          <cell r="F16">
            <v>0.11966666666666667</v>
          </cell>
        </row>
      </sheetData>
      <sheetData sheetId="8"/>
      <sheetData sheetId="9">
        <row r="4">
          <cell r="G4">
            <v>161.17915041210173</v>
          </cell>
        </row>
      </sheetData>
      <sheetData sheetId="10">
        <row r="4">
          <cell r="B4">
            <v>25</v>
          </cell>
        </row>
      </sheetData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agr. parametrai"/>
      <sheetName val="Chronologija"/>
      <sheetName val="Termoporos"/>
      <sheetName val="Keithley Matavimai"/>
      <sheetName val="Dūmų debito nustatymas"/>
      <sheetName val="Silumos kiekio nustat."/>
      <sheetName val="Šilumos kiekio kitimas"/>
      <sheetName val="Alfa"/>
      <sheetName val="Sheet1"/>
      <sheetName val="Nu kitimas"/>
      <sheetName val="Kondensacijos efektyvumas"/>
    </sheetNames>
    <sheetDataSet>
      <sheetData sheetId="0"/>
      <sheetData sheetId="1"/>
      <sheetData sheetId="2"/>
      <sheetData sheetId="3">
        <row r="5">
          <cell r="V5">
            <v>144.19368635068756</v>
          </cell>
        </row>
      </sheetData>
      <sheetData sheetId="4"/>
      <sheetData sheetId="5">
        <row r="24">
          <cell r="B24">
            <v>16.464157023627731</v>
          </cell>
        </row>
      </sheetData>
      <sheetData sheetId="6"/>
      <sheetData sheetId="7">
        <row r="3">
          <cell r="AG3">
            <v>5127.2379804314114</v>
          </cell>
        </row>
        <row r="16">
          <cell r="F16">
            <v>0.11211049723756907</v>
          </cell>
        </row>
      </sheetData>
      <sheetData sheetId="8"/>
      <sheetData sheetId="9">
        <row r="4">
          <cell r="F4">
            <v>93.128713586436518</v>
          </cell>
        </row>
      </sheetData>
      <sheetData sheetId="10">
        <row r="4">
          <cell r="B4">
            <v>4</v>
          </cell>
        </row>
      </sheetData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agr. parametrai"/>
      <sheetName val="Chronologija"/>
      <sheetName val="Termoporos"/>
      <sheetName val="Keithley Matavimai"/>
      <sheetName val="Dūmų debito nustatymas"/>
      <sheetName val="Silumos kiekio nustat."/>
      <sheetName val="Šilumos kiekio kitimas"/>
      <sheetName val="Alfa"/>
      <sheetName val="Sheet1"/>
      <sheetName val="Nu kitimas"/>
      <sheetName val="Kondensacijos efektyvumas"/>
    </sheetNames>
    <sheetDataSet>
      <sheetData sheetId="0"/>
      <sheetData sheetId="1"/>
      <sheetData sheetId="2"/>
      <sheetData sheetId="3">
        <row r="5">
          <cell r="V5">
            <v>84.314948086133271</v>
          </cell>
        </row>
      </sheetData>
      <sheetData sheetId="4"/>
      <sheetData sheetId="5">
        <row r="24">
          <cell r="B24">
            <v>12.501704000793824</v>
          </cell>
        </row>
      </sheetData>
      <sheetData sheetId="6"/>
      <sheetData sheetId="7">
        <row r="3">
          <cell r="AG3">
            <v>9911.6932232234412</v>
          </cell>
        </row>
        <row r="16">
          <cell r="F16">
            <v>0.12706666666666669</v>
          </cell>
        </row>
      </sheetData>
      <sheetData sheetId="8"/>
      <sheetData sheetId="9">
        <row r="4">
          <cell r="H4">
            <v>182.36105253280198</v>
          </cell>
        </row>
      </sheetData>
      <sheetData sheetId="10">
        <row r="4">
          <cell r="B4">
            <v>12</v>
          </cell>
        </row>
      </sheetData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hronologija"/>
      <sheetName val="Pagr. parametrai"/>
      <sheetName val="Termoporos"/>
      <sheetName val="Keithley Matavimai"/>
      <sheetName val="Dūmų debito nustatymas"/>
      <sheetName val="Silumos kiekio nustat."/>
      <sheetName val="Šilumos kiekio kitimas"/>
      <sheetName val="Alfa"/>
      <sheetName val="Sheet1"/>
      <sheetName val="Nu kitimas"/>
      <sheetName val="Kondensacijos efektyvumas"/>
    </sheetNames>
    <sheetDataSet>
      <sheetData sheetId="0"/>
      <sheetData sheetId="1"/>
      <sheetData sheetId="2"/>
      <sheetData sheetId="3">
        <row r="5">
          <cell r="V5">
            <v>144.22595353141512</v>
          </cell>
        </row>
      </sheetData>
      <sheetData sheetId="4"/>
      <sheetData sheetId="5">
        <row r="24">
          <cell r="B24">
            <v>13.634227223117454</v>
          </cell>
        </row>
      </sheetData>
      <sheetData sheetId="6"/>
      <sheetData sheetId="7">
        <row r="3">
          <cell r="AG3">
            <v>10076.404265460465</v>
          </cell>
        </row>
        <row r="16">
          <cell r="F16">
            <v>0.14386740331491712</v>
          </cell>
        </row>
      </sheetData>
      <sheetData sheetId="8"/>
      <sheetData sheetId="9">
        <row r="4">
          <cell r="G4">
            <v>119.02051861791274</v>
          </cell>
        </row>
      </sheetData>
      <sheetData sheetId="10">
        <row r="4">
          <cell r="B4">
            <v>0</v>
          </cell>
        </row>
      </sheetData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hronologija"/>
      <sheetName val="Pagr. parametrai"/>
      <sheetName val="Termoporos"/>
      <sheetName val="Keithley Matavimai"/>
      <sheetName val="Dūmų debito nustatymas"/>
      <sheetName val="Silumos kiekio nustat."/>
      <sheetName val="Šilumos kiekio kitimas"/>
      <sheetName val="Alfa"/>
      <sheetName val="Sheet1"/>
      <sheetName val="Nu kitimas"/>
      <sheetName val="Kondensacijos efektyvumas"/>
      <sheetName val="Sheet2"/>
    </sheetNames>
    <sheetDataSet>
      <sheetData sheetId="0"/>
      <sheetData sheetId="1"/>
      <sheetData sheetId="2"/>
      <sheetData sheetId="3">
        <row r="5">
          <cell r="V5">
            <v>205.41591166010463</v>
          </cell>
        </row>
      </sheetData>
      <sheetData sheetId="4"/>
      <sheetData sheetId="5">
        <row r="24">
          <cell r="B24">
            <v>15.064668656392154</v>
          </cell>
        </row>
      </sheetData>
      <sheetData sheetId="6"/>
      <sheetData sheetId="7">
        <row r="15">
          <cell r="F15">
            <v>905</v>
          </cell>
        </row>
        <row r="16">
          <cell r="F16">
            <v>0.13730386740331493</v>
          </cell>
        </row>
      </sheetData>
      <sheetData sheetId="8"/>
      <sheetData sheetId="9">
        <row r="4">
          <cell r="G4">
            <v>88.995463400970536</v>
          </cell>
        </row>
      </sheetData>
      <sheetData sheetId="10">
        <row r="4">
          <cell r="B4">
            <v>0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15125-F59A-4BD1-9FA6-B49A84135CEC}">
  <dimension ref="A1:AS102"/>
  <sheetViews>
    <sheetView tabSelected="1" workbookViewId="0">
      <selection activeCell="J2" sqref="J2"/>
    </sheetView>
  </sheetViews>
  <sheetFormatPr defaultRowHeight="14.4" x14ac:dyDescent="0.3"/>
  <cols>
    <col min="2" max="2" width="11.5546875" bestFit="1" customWidth="1"/>
    <col min="10" max="10" width="11.5546875" bestFit="1" customWidth="1"/>
    <col min="19" max="19" width="10.5546875" bestFit="1" customWidth="1"/>
  </cols>
  <sheetData>
    <row r="1" spans="1:45" ht="87" thickBot="1" x14ac:dyDescent="0.35">
      <c r="A1" s="1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2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2" t="s">
        <v>16</v>
      </c>
      <c r="R1" s="3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3" t="s">
        <v>25</v>
      </c>
      <c r="AA1" s="6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</row>
    <row r="2" spans="1:45" x14ac:dyDescent="0.3">
      <c r="A2" s="4">
        <v>49.995803045410419</v>
      </c>
      <c r="B2" s="4" cm="1">
        <f t="array" ref="B2:G2">_xlfn.SEQUENCE(1,6,A2-1,(H2-A2)/6)</f>
        <v>48.995803045410419</v>
      </c>
      <c r="C2" s="4">
        <v>46.221511981413776</v>
      </c>
      <c r="D2" s="4">
        <v>43.447220917417134</v>
      </c>
      <c r="E2" s="4">
        <v>40.672929853420491</v>
      </c>
      <c r="F2" s="4">
        <v>37.898638789423849</v>
      </c>
      <c r="G2" s="4">
        <v>35.124347725427207</v>
      </c>
      <c r="H2" s="4">
        <v>33.350056661430557</v>
      </c>
      <c r="I2" s="4">
        <v>84.432413313316772</v>
      </c>
      <c r="J2" s="4" cm="1">
        <f t="array" ref="J2:O2">_xlfn.SEQUENCE(1,6,I2-1,(P2-I2)/6)</f>
        <v>83.432413313316772</v>
      </c>
      <c r="K2" s="4">
        <v>80.54959790059084</v>
      </c>
      <c r="L2" s="4">
        <v>77.666782487864907</v>
      </c>
      <c r="M2" s="4">
        <v>74.783967075138975</v>
      </c>
      <c r="N2" s="4">
        <v>71.901151662413042</v>
      </c>
      <c r="O2" s="4">
        <v>69.01833624968711</v>
      </c>
      <c r="P2" s="4">
        <v>67.135520836961206</v>
      </c>
      <c r="Q2" s="4">
        <v>64.947327701930007</v>
      </c>
      <c r="R2" s="4">
        <v>40.274244602552933</v>
      </c>
      <c r="S2" s="4" cm="1">
        <f t="array" ref="S2:X2">_xlfn.SEQUENCE(1,6,R2-1,(Y2-R2)/6)</f>
        <v>39.274244602552933</v>
      </c>
      <c r="T2" s="4">
        <v>35.197239219140329</v>
      </c>
      <c r="U2" s="4">
        <v>31.120233835727724</v>
      </c>
      <c r="V2" s="4">
        <v>27.04322845231512</v>
      </c>
      <c r="W2" s="4">
        <v>22.966223068902515</v>
      </c>
      <c r="X2" s="4">
        <v>18.889217685489911</v>
      </c>
      <c r="Y2" s="4">
        <v>15.812212302077313</v>
      </c>
      <c r="Z2" s="4">
        <v>11.517878272769821</v>
      </c>
      <c r="AA2" s="4">
        <v>0.2092</v>
      </c>
      <c r="AB2" s="4">
        <v>131</v>
      </c>
      <c r="AC2" s="4">
        <v>39</v>
      </c>
      <c r="AD2" s="4">
        <v>262</v>
      </c>
      <c r="AE2" s="4">
        <v>10</v>
      </c>
      <c r="AF2" s="4">
        <v>85</v>
      </c>
      <c r="AK2">
        <v>84.432413313316772</v>
      </c>
      <c r="AL2">
        <v>80.60120062807421</v>
      </c>
      <c r="AM2">
        <v>78.100023326811808</v>
      </c>
      <c r="AN2">
        <v>76.052694550269464</v>
      </c>
      <c r="AO2">
        <v>73.956439360273563</v>
      </c>
      <c r="AP2">
        <v>72.406710610917216</v>
      </c>
      <c r="AQ2">
        <v>65.75132858466155</v>
      </c>
      <c r="AR2">
        <v>67.135520836961206</v>
      </c>
      <c r="AS2">
        <v>64.947327701930007</v>
      </c>
    </row>
    <row r="3" spans="1:45" x14ac:dyDescent="0.3">
      <c r="A3" s="4">
        <v>43.152355372794752</v>
      </c>
      <c r="B3" s="4" cm="1">
        <f t="array" ref="B3:G3">_xlfn.SEQUENCE(1,6,A3-1,(H3-A3)/6)</f>
        <v>42.152355372794752</v>
      </c>
      <c r="C3" s="4">
        <v>39.5446190586228</v>
      </c>
      <c r="D3" s="4">
        <v>36.936882744450848</v>
      </c>
      <c r="E3" s="4">
        <v>34.329146430278897</v>
      </c>
      <c r="F3" s="4">
        <v>31.721410116106949</v>
      </c>
      <c r="G3" s="4">
        <v>29.113673801935001</v>
      </c>
      <c r="H3" s="4">
        <v>27.50593748776306</v>
      </c>
      <c r="I3" s="4">
        <v>114.22680758272772</v>
      </c>
      <c r="J3" s="4" cm="1">
        <f t="array" ref="J3:O3">_xlfn.SEQUENCE(1,6,I3-1,(P3-I3)/6)</f>
        <v>113.22680758272772</v>
      </c>
      <c r="K3" s="4">
        <v>108.41082199144914</v>
      </c>
      <c r="L3" s="4">
        <v>103.59483640017056</v>
      </c>
      <c r="M3" s="4">
        <v>98.778850808891988</v>
      </c>
      <c r="N3" s="4">
        <v>93.962865217613412</v>
      </c>
      <c r="O3" s="4">
        <v>89.146879626334837</v>
      </c>
      <c r="P3" s="4">
        <v>85.330894035056261</v>
      </c>
      <c r="Q3" s="4">
        <v>81.380037495214125</v>
      </c>
      <c r="R3" s="4">
        <v>29.659280300718564</v>
      </c>
      <c r="S3" s="4" cm="1">
        <f t="array" ref="S3:X3">_xlfn.SEQUENCE(1,6,R3-1,(Y3-R3)/6)</f>
        <v>28.659280300718564</v>
      </c>
      <c r="T3" s="4">
        <v>26.088174994383888</v>
      </c>
      <c r="U3" s="4">
        <v>23.517069688049212</v>
      </c>
      <c r="V3" s="4">
        <v>20.945964381714536</v>
      </c>
      <c r="W3" s="4">
        <v>18.37485907537986</v>
      </c>
      <c r="X3" s="4">
        <v>15.803753769045183</v>
      </c>
      <c r="Y3" s="4">
        <v>14.232648462710504</v>
      </c>
      <c r="Z3" s="4">
        <v>11.516507973991978</v>
      </c>
      <c r="AA3" s="4">
        <v>0.17293333333333336</v>
      </c>
      <c r="AB3" s="4">
        <v>200</v>
      </c>
      <c r="AC3" s="4">
        <v>40</v>
      </c>
      <c r="AD3" s="4">
        <v>400</v>
      </c>
      <c r="AE3" s="4">
        <v>11</v>
      </c>
      <c r="AF3" s="4">
        <v>115</v>
      </c>
    </row>
    <row r="4" spans="1:45" x14ac:dyDescent="0.3">
      <c r="A4" s="4">
        <v>43.344156813619072</v>
      </c>
      <c r="B4" s="4" cm="1">
        <f t="array" ref="B4:G4">_xlfn.SEQUENCE(1,6,A4-1,(H4-A4)/6)</f>
        <v>42.344156813619072</v>
      </c>
      <c r="C4" s="4">
        <v>39.704964305450673</v>
      </c>
      <c r="D4" s="4">
        <v>37.065771797282274</v>
      </c>
      <c r="E4" s="4">
        <v>34.426579289113874</v>
      </c>
      <c r="F4" s="4">
        <v>31.787386780945475</v>
      </c>
      <c r="G4" s="4">
        <v>29.148194272777076</v>
      </c>
      <c r="H4" s="4">
        <v>27.509001764608666</v>
      </c>
      <c r="I4" s="4">
        <v>125.102418487666</v>
      </c>
      <c r="J4" s="4" cm="1">
        <f t="array" ref="J4:O4">_xlfn.SEQUENCE(1,6,I4-1,(P4-I4)/6)</f>
        <v>124.102418487666</v>
      </c>
      <c r="K4" s="4">
        <v>118.590395940636</v>
      </c>
      <c r="L4" s="4">
        <v>113.078373393606</v>
      </c>
      <c r="M4" s="4">
        <v>107.566350846576</v>
      </c>
      <c r="N4" s="4">
        <v>102.054328299546</v>
      </c>
      <c r="O4" s="4">
        <v>96.542305752516</v>
      </c>
      <c r="P4" s="4">
        <v>92.030283205486015</v>
      </c>
      <c r="Q4" s="4">
        <v>87.544690140939665</v>
      </c>
      <c r="R4" s="4">
        <v>29.954523544792732</v>
      </c>
      <c r="S4" s="4" cm="1">
        <f t="array" ref="S4:X4">_xlfn.SEQUENCE(1,6,R4-1,(Y4-R4)/6)</f>
        <v>28.954523544792732</v>
      </c>
      <c r="T4" s="4">
        <v>26.333664415208588</v>
      </c>
      <c r="U4" s="4">
        <v>23.712805285624444</v>
      </c>
      <c r="V4" s="4">
        <v>21.091946156040301</v>
      </c>
      <c r="W4" s="4">
        <v>18.471087026456157</v>
      </c>
      <c r="X4" s="4">
        <v>15.850227896872013</v>
      </c>
      <c r="Y4" s="4">
        <v>14.22936876728787</v>
      </c>
      <c r="Z4" s="4">
        <v>11.437368953103377</v>
      </c>
      <c r="AA4" s="4">
        <v>0.17100000000000001</v>
      </c>
      <c r="AB4" s="4">
        <v>200</v>
      </c>
      <c r="AC4" s="4">
        <v>40</v>
      </c>
      <c r="AD4" s="4">
        <v>400</v>
      </c>
      <c r="AE4" s="4">
        <v>11</v>
      </c>
      <c r="AF4" s="4">
        <v>125</v>
      </c>
      <c r="AK4" cm="1">
        <f t="array" ref="AK4:AS4">_xlfn.SEQUENCE(1,9,AK2,(AS2-AK2)/9)</f>
        <v>84.432413313316772</v>
      </c>
      <c r="AL4">
        <v>82.267403800940471</v>
      </c>
      <c r="AM4">
        <v>80.10239428856417</v>
      </c>
      <c r="AN4">
        <v>77.937384776187869</v>
      </c>
      <c r="AO4">
        <v>75.772375263811568</v>
      </c>
      <c r="AP4">
        <v>73.607365751435267</v>
      </c>
      <c r="AQ4">
        <v>71.442356239058967</v>
      </c>
      <c r="AR4">
        <v>69.277346726682666</v>
      </c>
      <c r="AS4">
        <v>67.112337214306365</v>
      </c>
    </row>
    <row r="5" spans="1:45" x14ac:dyDescent="0.3">
      <c r="A5" s="4">
        <v>43.658503068620462</v>
      </c>
      <c r="B5" s="4" cm="1">
        <f t="array" ref="B5:G5">_xlfn.SEQUENCE(1,6,A5-1,(H5-A5)/6)</f>
        <v>42.658503068620462</v>
      </c>
      <c r="C5" s="4">
        <v>39.757801707479025</v>
      </c>
      <c r="D5" s="4">
        <v>36.857100346337589</v>
      </c>
      <c r="E5" s="4">
        <v>33.956398985196152</v>
      </c>
      <c r="F5" s="4">
        <v>31.055697624054719</v>
      </c>
      <c r="G5" s="4">
        <v>28.154996262913286</v>
      </c>
      <c r="H5" s="4">
        <v>26.254294901771857</v>
      </c>
      <c r="I5" s="4">
        <v>134.99114930403169</v>
      </c>
      <c r="J5" s="4" cm="1">
        <f t="array" ref="J5:O5">_xlfn.SEQUENCE(1,6,I5-1,(P5-I5)/6)</f>
        <v>133.99114930403169</v>
      </c>
      <c r="K5" s="4">
        <v>127.86794898988299</v>
      </c>
      <c r="L5" s="4">
        <v>121.74474867573429</v>
      </c>
      <c r="M5" s="4">
        <v>115.62154836158558</v>
      </c>
      <c r="N5" s="4">
        <v>109.49834804743688</v>
      </c>
      <c r="O5" s="4">
        <v>103.37514773328817</v>
      </c>
      <c r="P5" s="4">
        <v>98.251947419139427</v>
      </c>
      <c r="Q5" s="4">
        <v>93.368355876548819</v>
      </c>
      <c r="R5" s="4">
        <v>30.943626226455638</v>
      </c>
      <c r="S5" s="4" cm="1">
        <f t="array" ref="S5:X5">_xlfn.SEQUENCE(1,6,R5-1,(Y5-R5)/6)</f>
        <v>29.943626226455638</v>
      </c>
      <c r="T5" s="4">
        <v>27.205344792627496</v>
      </c>
      <c r="U5" s="4">
        <v>24.467063358799354</v>
      </c>
      <c r="V5" s="4">
        <v>21.728781924971212</v>
      </c>
      <c r="W5" s="4">
        <v>18.99050049114307</v>
      </c>
      <c r="X5" s="4">
        <v>16.252219057314928</v>
      </c>
      <c r="Y5" s="4">
        <v>14.513937623486783</v>
      </c>
      <c r="Z5" s="4">
        <v>12.184411076048129</v>
      </c>
      <c r="AA5" s="4">
        <v>0.16426666666666664</v>
      </c>
      <c r="AB5" s="4">
        <v>200</v>
      </c>
      <c r="AC5" s="4">
        <v>40</v>
      </c>
      <c r="AD5" s="4">
        <v>400</v>
      </c>
      <c r="AE5" s="4">
        <v>12</v>
      </c>
      <c r="AF5" s="4">
        <v>135</v>
      </c>
    </row>
    <row r="6" spans="1:45" x14ac:dyDescent="0.3">
      <c r="A6" s="4">
        <v>44.562302913929251</v>
      </c>
      <c r="B6" s="4" cm="1">
        <f t="array" ref="B6:G6">_xlfn.SEQUENCE(1,6,A6-1,(H6-A6)/6)</f>
        <v>43.562302913929251</v>
      </c>
      <c r="C6" s="4">
        <v>40.348472662130177</v>
      </c>
      <c r="D6" s="4">
        <v>37.134642410331104</v>
      </c>
      <c r="E6" s="4">
        <v>33.92081215853203</v>
      </c>
      <c r="F6" s="4">
        <v>30.70698190673296</v>
      </c>
      <c r="G6" s="4">
        <v>27.493151654933889</v>
      </c>
      <c r="H6" s="4">
        <v>25.279321403134823</v>
      </c>
      <c r="I6" s="4">
        <v>145.54278565883115</v>
      </c>
      <c r="J6" s="4" cm="1">
        <f t="array" ref="J6:O6">_xlfn.SEQUENCE(1,6,I6-1,(P6-I6)/6)</f>
        <v>144.54278565883115</v>
      </c>
      <c r="K6" s="4">
        <v>137.59020305439734</v>
      </c>
      <c r="L6" s="4">
        <v>130.63762044996352</v>
      </c>
      <c r="M6" s="4">
        <v>123.68503784552971</v>
      </c>
      <c r="N6" s="4">
        <v>116.73245524109589</v>
      </c>
      <c r="O6" s="4">
        <v>109.77987263666208</v>
      </c>
      <c r="P6" s="4">
        <v>103.8272900322283</v>
      </c>
      <c r="Q6" s="4">
        <v>99.550679828896065</v>
      </c>
      <c r="R6" s="4">
        <v>29.35448633630082</v>
      </c>
      <c r="S6" s="4" cm="1">
        <f t="array" ref="S6:X6">_xlfn.SEQUENCE(1,6,R6-1,(Y6-R6)/6)</f>
        <v>28.35448633630082</v>
      </c>
      <c r="T6" s="4">
        <v>25.67067395703295</v>
      </c>
      <c r="U6" s="4">
        <v>22.98686157776508</v>
      </c>
      <c r="V6" s="4">
        <v>20.303049198497209</v>
      </c>
      <c r="W6" s="4">
        <v>17.619236819229339</v>
      </c>
      <c r="X6" s="4">
        <v>14.935424439961469</v>
      </c>
      <c r="Y6" s="4">
        <v>13.251612060693603</v>
      </c>
      <c r="Z6" s="4">
        <v>9.7560803575568436</v>
      </c>
      <c r="AA6" s="4">
        <v>0.16253333333333331</v>
      </c>
      <c r="AB6" s="4">
        <v>213</v>
      </c>
      <c r="AC6" s="4">
        <v>41.5</v>
      </c>
      <c r="AD6" s="4">
        <v>403.5</v>
      </c>
      <c r="AE6" s="4">
        <v>8.84</v>
      </c>
      <c r="AF6" s="4">
        <v>145</v>
      </c>
    </row>
    <row r="7" spans="1:45" x14ac:dyDescent="0.3">
      <c r="A7" s="4">
        <v>44.798946742641029</v>
      </c>
      <c r="B7" s="4" cm="1">
        <f t="array" ref="B7:G7">_xlfn.SEQUENCE(1,6,A7-1,(H7-A7)/6)</f>
        <v>43.798946742641029</v>
      </c>
      <c r="C7" s="4">
        <v>41.156816182689063</v>
      </c>
      <c r="D7" s="4">
        <v>38.514685622737098</v>
      </c>
      <c r="E7" s="4">
        <v>35.872555062785132</v>
      </c>
      <c r="F7" s="4">
        <v>33.230424502833166</v>
      </c>
      <c r="G7" s="4">
        <v>30.588293942881197</v>
      </c>
      <c r="H7" s="4">
        <v>28.946163382929218</v>
      </c>
      <c r="I7" s="4">
        <v>152.06398941987877</v>
      </c>
      <c r="J7" s="4" cm="1">
        <f t="array" ref="J7:O7">_xlfn.SEQUENCE(1,6,I7-1,(P7-I7)/6)</f>
        <v>151.06398941987877</v>
      </c>
      <c r="K7" s="4">
        <v>144.17031008908762</v>
      </c>
      <c r="L7" s="4">
        <v>137.27663075829648</v>
      </c>
      <c r="M7" s="4">
        <v>130.38295142750533</v>
      </c>
      <c r="N7" s="4">
        <v>123.48927209671419</v>
      </c>
      <c r="O7" s="4">
        <v>116.59559276592304</v>
      </c>
      <c r="P7" s="4">
        <v>110.70191343513194</v>
      </c>
      <c r="Q7" s="4">
        <v>103.26463330056873</v>
      </c>
      <c r="R7" s="4">
        <v>29.715674256862517</v>
      </c>
      <c r="S7" s="4" cm="1">
        <f t="array" ref="S7:X7">_xlfn.SEQUENCE(1,6,R7-1,(Y7-R7)/6)</f>
        <v>28.715674256862517</v>
      </c>
      <c r="T7" s="4">
        <v>25.983120398745264</v>
      </c>
      <c r="U7" s="4">
        <v>23.250566540628011</v>
      </c>
      <c r="V7" s="4">
        <v>20.518012682510758</v>
      </c>
      <c r="W7" s="4">
        <v>17.785458824393505</v>
      </c>
      <c r="X7" s="4">
        <v>15.052904966276252</v>
      </c>
      <c r="Y7" s="4">
        <v>13.320351108159002</v>
      </c>
      <c r="Z7" s="4">
        <v>9.7639089362501323</v>
      </c>
      <c r="AA7" s="4">
        <v>0.15886666666666666</v>
      </c>
      <c r="AB7" s="4">
        <v>217</v>
      </c>
      <c r="AC7" s="4">
        <v>41.5</v>
      </c>
      <c r="AD7" s="4">
        <v>405</v>
      </c>
      <c r="AE7" s="4">
        <v>8.8800000000000008</v>
      </c>
      <c r="AF7" s="4">
        <v>155</v>
      </c>
    </row>
    <row r="8" spans="1:45" x14ac:dyDescent="0.3">
      <c r="A8" s="4">
        <v>44.920022588284361</v>
      </c>
      <c r="B8" s="4" cm="1">
        <f t="array" ref="B8:G8">_xlfn.SEQUENCE(1,6,A8-1,(H8-A8)/6)</f>
        <v>43.920022588284361</v>
      </c>
      <c r="C8" s="4">
        <v>41.184324740301903</v>
      </c>
      <c r="D8" s="4">
        <v>38.448626892319446</v>
      </c>
      <c r="E8" s="4">
        <v>35.712929044336988</v>
      </c>
      <c r="F8" s="4">
        <v>32.977231196354531</v>
      </c>
      <c r="G8" s="4">
        <v>30.241533348372073</v>
      </c>
      <c r="H8" s="4">
        <v>28.505835500389626</v>
      </c>
      <c r="I8" s="4">
        <v>163.87435886596691</v>
      </c>
      <c r="J8" s="4" cm="1">
        <f t="array" ref="J8:O8">_xlfn.SEQUENCE(1,6,I8-1,(P8-I8)/6)</f>
        <v>162.87435886596691</v>
      </c>
      <c r="K8" s="4">
        <v>155.13436290679783</v>
      </c>
      <c r="L8" s="4">
        <v>147.39436694762875</v>
      </c>
      <c r="M8" s="4">
        <v>139.65437098845968</v>
      </c>
      <c r="N8" s="4">
        <v>131.9143750292906</v>
      </c>
      <c r="O8" s="4">
        <v>124.17437907012152</v>
      </c>
      <c r="P8" s="4">
        <v>117.43438311095247</v>
      </c>
      <c r="Q8" s="4">
        <v>109.03769734173493</v>
      </c>
      <c r="R8" s="4">
        <v>31.688321285853458</v>
      </c>
      <c r="S8" s="4" cm="1">
        <f t="array" ref="S8:X8">_xlfn.SEQUENCE(1,6,R8-1,(Y8-R8)/6)</f>
        <v>30.688321285853458</v>
      </c>
      <c r="T8" s="4">
        <v>27.690958551886268</v>
      </c>
      <c r="U8" s="4">
        <v>24.693595817919078</v>
      </c>
      <c r="V8" s="4">
        <v>21.696233083951888</v>
      </c>
      <c r="W8" s="4">
        <v>18.698870349984698</v>
      </c>
      <c r="X8" s="4">
        <v>15.701507616017507</v>
      </c>
      <c r="Y8" s="4">
        <v>13.704144882050311</v>
      </c>
      <c r="Z8" s="4">
        <v>11.325854456772827</v>
      </c>
      <c r="AA8" s="4">
        <v>0.157</v>
      </c>
      <c r="AB8" s="4">
        <v>225</v>
      </c>
      <c r="AC8" s="4">
        <v>45</v>
      </c>
      <c r="AD8" s="4">
        <v>408</v>
      </c>
      <c r="AE8" s="4">
        <v>11.11</v>
      </c>
      <c r="AF8" s="4">
        <v>165</v>
      </c>
    </row>
    <row r="9" spans="1:45" x14ac:dyDescent="0.3">
      <c r="A9" s="4">
        <v>44.18414259892549</v>
      </c>
      <c r="B9" s="4" cm="1">
        <f t="array" ref="B9:G9">_xlfn.SEQUENCE(1,6,A9-1,(H9-A9)/6)</f>
        <v>43.18414259892549</v>
      </c>
      <c r="C9" s="4">
        <v>40.393158481150074</v>
      </c>
      <c r="D9" s="4">
        <v>37.602174363374658</v>
      </c>
      <c r="E9" s="4">
        <v>34.811190245599242</v>
      </c>
      <c r="F9" s="4">
        <v>32.020206127823826</v>
      </c>
      <c r="G9" s="4">
        <v>29.229222010048414</v>
      </c>
      <c r="H9" s="4">
        <v>27.438237892273008</v>
      </c>
      <c r="I9" s="4">
        <v>171.8290512206917</v>
      </c>
      <c r="J9" s="4" cm="1">
        <f t="array" ref="J9:O9">_xlfn.SEQUENCE(1,6,I9-1,(P9-I9)/6)</f>
        <v>170.8290512206917</v>
      </c>
      <c r="K9" s="4">
        <v>162.56552557668371</v>
      </c>
      <c r="L9" s="4">
        <v>154.30199993267573</v>
      </c>
      <c r="M9" s="4">
        <v>146.03847428866774</v>
      </c>
      <c r="N9" s="4">
        <v>137.77494864465976</v>
      </c>
      <c r="O9" s="4">
        <v>129.51142300065177</v>
      </c>
      <c r="P9" s="4">
        <v>122.2478973566438</v>
      </c>
      <c r="Q9" s="4">
        <v>115.68594898602555</v>
      </c>
      <c r="R9" s="4">
        <v>31.719851692395054</v>
      </c>
      <c r="S9" s="4" cm="1">
        <f t="array" ref="S9:X9">_xlfn.SEQUENCE(1,6,R9-1,(Y9-R9)/6)</f>
        <v>30.719851692395054</v>
      </c>
      <c r="T9" s="4">
        <v>27.719490335124323</v>
      </c>
      <c r="U9" s="4">
        <v>24.719128977853593</v>
      </c>
      <c r="V9" s="4">
        <v>21.718767620582863</v>
      </c>
      <c r="W9" s="4">
        <v>18.718406263312133</v>
      </c>
      <c r="X9" s="4">
        <v>15.718044906041401</v>
      </c>
      <c r="Y9" s="4">
        <v>13.717683548770665</v>
      </c>
      <c r="Z9" s="4">
        <v>11.432666928597097</v>
      </c>
      <c r="AA9" s="4">
        <v>0.15193333333333334</v>
      </c>
      <c r="AB9" s="4">
        <v>225</v>
      </c>
      <c r="AC9" s="4">
        <v>45</v>
      </c>
      <c r="AD9" s="4">
        <v>408</v>
      </c>
      <c r="AE9" s="4">
        <v>11.11</v>
      </c>
      <c r="AF9" s="4">
        <v>165</v>
      </c>
    </row>
    <row r="10" spans="1:45" x14ac:dyDescent="0.3">
      <c r="A10" s="4">
        <v>47.866766249184103</v>
      </c>
      <c r="B10" s="4" cm="1">
        <f t="array" ref="B10:G10">_xlfn.SEQUENCE(1,6,A10-1,(H10-A10)/6)</f>
        <v>46.866766249184103</v>
      </c>
      <c r="C10" s="4">
        <v>43.777905857411135</v>
      </c>
      <c r="D10" s="4">
        <v>40.689045465638166</v>
      </c>
      <c r="E10" s="4">
        <v>37.600185073865198</v>
      </c>
      <c r="F10" s="4">
        <v>34.51132468209223</v>
      </c>
      <c r="G10" s="4">
        <v>31.422464290319265</v>
      </c>
      <c r="H10" s="4">
        <v>29.333603898546311</v>
      </c>
      <c r="I10" s="4">
        <v>186.2380172239954</v>
      </c>
      <c r="J10" s="4" cm="1">
        <f t="array" ref="J10:O10">_xlfn.SEQUENCE(1,6,I10-1,(P10-I10)/6)</f>
        <v>185.2380172239954</v>
      </c>
      <c r="K10" s="4">
        <v>176.16704378224452</v>
      </c>
      <c r="L10" s="4">
        <v>167.09607034049364</v>
      </c>
      <c r="M10" s="4">
        <v>158.02509689874276</v>
      </c>
      <c r="N10" s="4">
        <v>148.95412345699188</v>
      </c>
      <c r="O10" s="4">
        <v>139.883150015241</v>
      </c>
      <c r="P10" s="4">
        <v>131.81217657349018</v>
      </c>
      <c r="Q10" s="4">
        <v>125.21035319077566</v>
      </c>
      <c r="R10" s="4">
        <v>33.448426219973719</v>
      </c>
      <c r="S10" s="4" cm="1">
        <f t="array" ref="S10:X10">_xlfn.SEQUENCE(1,6,R10-1,(Y10-R10)/6)</f>
        <v>32.448426219973719</v>
      </c>
      <c r="T10" s="4">
        <v>29.266904926589554</v>
      </c>
      <c r="U10" s="4">
        <v>26.085383633205389</v>
      </c>
      <c r="V10" s="4">
        <v>22.903862339821224</v>
      </c>
      <c r="W10" s="4">
        <v>19.722341046437059</v>
      </c>
      <c r="X10" s="4">
        <v>16.540819753052894</v>
      </c>
      <c r="Y10" s="4">
        <v>14.359298459668729</v>
      </c>
      <c r="Z10" s="4">
        <v>11.466078145451746</v>
      </c>
      <c r="AA10" s="4">
        <v>0.16713333333333333</v>
      </c>
      <c r="AB10" s="4">
        <v>223</v>
      </c>
      <c r="AC10" s="4">
        <v>42</v>
      </c>
      <c r="AD10" s="4">
        <v>408</v>
      </c>
      <c r="AE10" s="4">
        <v>11.05</v>
      </c>
      <c r="AF10" s="4">
        <v>185</v>
      </c>
    </row>
    <row r="11" spans="1:45" x14ac:dyDescent="0.3">
      <c r="A11" s="4">
        <v>47.866766249184103</v>
      </c>
      <c r="B11" s="4" cm="1">
        <f t="array" ref="B11:G11">_xlfn.SEQUENCE(1,6,A11-1,(H11-A11)/6)</f>
        <v>46.866766249184103</v>
      </c>
      <c r="C11" s="4">
        <v>43.777905857411135</v>
      </c>
      <c r="D11" s="4">
        <v>40.689045465638166</v>
      </c>
      <c r="E11" s="4">
        <v>37.600185073865198</v>
      </c>
      <c r="F11" s="4">
        <v>34.51132468209223</v>
      </c>
      <c r="G11" s="4">
        <v>31.422464290319265</v>
      </c>
      <c r="H11" s="4">
        <v>29.333603898546311</v>
      </c>
      <c r="I11" s="4">
        <v>186.2380172239954</v>
      </c>
      <c r="J11" s="4" cm="1">
        <f t="array" ref="J11:O11">_xlfn.SEQUENCE(1,6,I11-1,(P11-I11)/6)</f>
        <v>185.2380172239954</v>
      </c>
      <c r="K11" s="4">
        <v>176.16704378224452</v>
      </c>
      <c r="L11" s="4">
        <v>167.09607034049364</v>
      </c>
      <c r="M11" s="4">
        <v>158.02509689874276</v>
      </c>
      <c r="N11" s="4">
        <v>148.95412345699188</v>
      </c>
      <c r="O11" s="4">
        <v>139.883150015241</v>
      </c>
      <c r="P11" s="4">
        <v>131.81217657349018</v>
      </c>
      <c r="Q11" s="4">
        <v>125.21035319077566</v>
      </c>
      <c r="R11" s="4">
        <v>33.448426219973719</v>
      </c>
      <c r="S11" s="4" cm="1">
        <f t="array" ref="S11:X11">_xlfn.SEQUENCE(1,6,R11-1,(Y11-R11)/6)</f>
        <v>32.448426219973719</v>
      </c>
      <c r="T11" s="4">
        <v>29.266904926589554</v>
      </c>
      <c r="U11" s="4">
        <v>26.085383633205389</v>
      </c>
      <c r="V11" s="4">
        <v>22.903862339821224</v>
      </c>
      <c r="W11" s="4">
        <v>19.722341046437059</v>
      </c>
      <c r="X11" s="4">
        <v>16.540819753052894</v>
      </c>
      <c r="Y11" s="4">
        <v>14.359298459668729</v>
      </c>
      <c r="Z11" s="4">
        <v>11.466078145451746</v>
      </c>
      <c r="AA11" s="4">
        <v>0.16693333333333332</v>
      </c>
      <c r="AB11" s="4">
        <v>226</v>
      </c>
      <c r="AC11" s="4">
        <v>44</v>
      </c>
      <c r="AD11" s="4">
        <v>432</v>
      </c>
      <c r="AE11" s="4">
        <v>10.85</v>
      </c>
      <c r="AF11" s="4">
        <v>185</v>
      </c>
    </row>
    <row r="12" spans="1:45" x14ac:dyDescent="0.3">
      <c r="A12" s="4">
        <v>47.431540114444012</v>
      </c>
      <c r="B12" s="4" cm="1">
        <f t="array" ref="B12:G12">_xlfn.SEQUENCE(1,6,A12-1,(H12-A12)/6)</f>
        <v>46.431540114444012</v>
      </c>
      <c r="C12" s="4">
        <v>43.3064608536571</v>
      </c>
      <c r="D12" s="4">
        <v>40.181381592870189</v>
      </c>
      <c r="E12" s="4">
        <v>37.056302332083277</v>
      </c>
      <c r="F12" s="4">
        <v>33.931223071296365</v>
      </c>
      <c r="G12" s="4">
        <v>30.806143810509454</v>
      </c>
      <c r="H12" s="4">
        <v>28.681064549722535</v>
      </c>
      <c r="I12" s="4">
        <v>195.46008555598746</v>
      </c>
      <c r="J12" s="4" cm="1">
        <f t="array" ref="J12:O12">_xlfn.SEQUENCE(1,6,I12-1,(P12-I12)/6)</f>
        <v>194.46008555598746</v>
      </c>
      <c r="K12" s="4">
        <v>184.68893860068141</v>
      </c>
      <c r="L12" s="4">
        <v>174.91779164537536</v>
      </c>
      <c r="M12" s="4">
        <v>165.14664469006931</v>
      </c>
      <c r="N12" s="4">
        <v>155.37549773476326</v>
      </c>
      <c r="O12" s="4">
        <v>145.60435077945721</v>
      </c>
      <c r="P12" s="4">
        <v>136.83320382415124</v>
      </c>
      <c r="Q12" s="4">
        <v>129.18700866151494</v>
      </c>
      <c r="R12" s="4">
        <v>32.223434300639099</v>
      </c>
      <c r="S12" s="4" cm="1">
        <f t="array" ref="S12:X12">_xlfn.SEQUENCE(1,6,R12-1,(Y12-R12)/6)</f>
        <v>31.223434300639099</v>
      </c>
      <c r="T12" s="4">
        <v>28.116214648533948</v>
      </c>
      <c r="U12" s="4">
        <v>25.008994996428797</v>
      </c>
      <c r="V12" s="4">
        <v>21.901775344323646</v>
      </c>
      <c r="W12" s="4">
        <v>18.794555692218495</v>
      </c>
      <c r="X12" s="4">
        <v>15.687336040113346</v>
      </c>
      <c r="Y12" s="4">
        <v>13.5801163880082</v>
      </c>
      <c r="Z12" s="4">
        <v>10.833784170514644</v>
      </c>
      <c r="AA12" s="4">
        <v>0.17580000000000001</v>
      </c>
      <c r="AB12" s="4">
        <v>231</v>
      </c>
      <c r="AC12" s="4">
        <v>45</v>
      </c>
      <c r="AD12" s="4">
        <v>453</v>
      </c>
      <c r="AE12" s="4">
        <v>10.44</v>
      </c>
      <c r="AF12" s="4">
        <v>195</v>
      </c>
    </row>
    <row r="13" spans="1:45" x14ac:dyDescent="0.3">
      <c r="A13" s="4">
        <v>47.151707248621982</v>
      </c>
      <c r="B13" s="4" cm="1">
        <f t="array" ref="B13:G13">_xlfn.SEQUENCE(1,6,A13-1,(H13-A13)/6)</f>
        <v>46.151707248621982</v>
      </c>
      <c r="C13" s="4">
        <v>42.798089316788648</v>
      </c>
      <c r="D13" s="4">
        <v>39.444471384955314</v>
      </c>
      <c r="E13" s="4">
        <v>36.09085345312198</v>
      </c>
      <c r="F13" s="4">
        <v>32.737235521288646</v>
      </c>
      <c r="G13" s="4">
        <v>29.383617589455312</v>
      </c>
      <c r="H13" s="4">
        <v>27.029999657621989</v>
      </c>
      <c r="I13" s="4">
        <v>206.12267488533556</v>
      </c>
      <c r="J13" s="4" cm="1">
        <f t="array" ref="J13:O13">_xlfn.SEQUENCE(1,6,I13-1,(P13-I13)/6)</f>
        <v>205.12267488533556</v>
      </c>
      <c r="K13" s="4">
        <v>194.91136045993596</v>
      </c>
      <c r="L13" s="4">
        <v>184.70004603453637</v>
      </c>
      <c r="M13" s="4">
        <v>174.48873160913678</v>
      </c>
      <c r="N13" s="4">
        <v>164.27741718373719</v>
      </c>
      <c r="O13" s="4">
        <v>154.06610275833759</v>
      </c>
      <c r="P13" s="4">
        <v>144.85478833293794</v>
      </c>
      <c r="Q13" s="4">
        <v>137.90509479583056</v>
      </c>
      <c r="R13" s="4">
        <v>32.228973318872072</v>
      </c>
      <c r="S13" s="4" cm="1">
        <f t="array" ref="S13:X13">_xlfn.SEQUENCE(1,6,R13-1,(Y13-R13)/6)</f>
        <v>31.228973318872072</v>
      </c>
      <c r="T13" s="4">
        <v>28.104992971905109</v>
      </c>
      <c r="U13" s="4">
        <v>24.981012624938145</v>
      </c>
      <c r="V13" s="4">
        <v>21.857032277971182</v>
      </c>
      <c r="W13" s="4">
        <v>18.733051931004219</v>
      </c>
      <c r="X13" s="4">
        <v>15.609071584037254</v>
      </c>
      <c r="Y13" s="4">
        <v>13.485091237070286</v>
      </c>
      <c r="Z13" s="4">
        <v>10.756181481840898</v>
      </c>
      <c r="AA13" s="4">
        <v>0.17460000000000001</v>
      </c>
      <c r="AB13" s="4">
        <v>243</v>
      </c>
      <c r="AC13" s="4">
        <v>45</v>
      </c>
      <c r="AD13" s="4">
        <v>468</v>
      </c>
      <c r="AE13" s="4">
        <v>10.42</v>
      </c>
      <c r="AF13" s="4">
        <v>205</v>
      </c>
    </row>
    <row r="14" spans="1:45" x14ac:dyDescent="0.3">
      <c r="A14" s="4">
        <v>48.159264232769225</v>
      </c>
      <c r="B14" s="4" cm="1">
        <f t="array" ref="B14:G14">_xlfn.SEQUENCE(1,6,A14-1,(H14-A14)/6)</f>
        <v>47.159264232769225</v>
      </c>
      <c r="C14" s="4">
        <v>43.673081201700136</v>
      </c>
      <c r="D14" s="4">
        <v>40.186898170631046</v>
      </c>
      <c r="E14" s="4">
        <v>36.700715139561957</v>
      </c>
      <c r="F14" s="4">
        <v>33.214532108492868</v>
      </c>
      <c r="G14" s="4">
        <v>29.728349077423783</v>
      </c>
      <c r="H14" s="4">
        <v>27.242166046354708</v>
      </c>
      <c r="I14" s="4">
        <v>214.13847609191831</v>
      </c>
      <c r="J14" s="4" cm="1">
        <f t="array" ref="J14:O14">_xlfn.SEQUENCE(1,6,I14-1,(P14-I14)/6)</f>
        <v>213.13847609191831</v>
      </c>
      <c r="K14" s="4">
        <v>202.57604115227852</v>
      </c>
      <c r="L14" s="4">
        <v>192.01360621263873</v>
      </c>
      <c r="M14" s="4">
        <v>181.45117127299895</v>
      </c>
      <c r="N14" s="4">
        <v>170.88873633335916</v>
      </c>
      <c r="O14" s="4">
        <v>160.32630139371938</v>
      </c>
      <c r="P14" s="4">
        <v>150.76386645407953</v>
      </c>
      <c r="Q14" s="4">
        <v>143.48754711707906</v>
      </c>
      <c r="R14" s="4">
        <v>33.053972115962594</v>
      </c>
      <c r="S14" s="4" cm="1">
        <f t="array" ref="S14:X14">_xlfn.SEQUENCE(1,6,R14-1,(Y14-R14)/6)</f>
        <v>32.053972115962594</v>
      </c>
      <c r="T14" s="4">
        <v>28.826797651758444</v>
      </c>
      <c r="U14" s="4">
        <v>25.599623187554293</v>
      </c>
      <c r="V14" s="4">
        <v>22.372448723350143</v>
      </c>
      <c r="W14" s="4">
        <v>19.145274259145992</v>
      </c>
      <c r="X14" s="4">
        <v>15.91809979494184</v>
      </c>
      <c r="Y14" s="4">
        <v>13.690925330737684</v>
      </c>
      <c r="Z14" s="4">
        <v>10.811360926905632</v>
      </c>
      <c r="AA14" s="4">
        <v>0.17346666666666669</v>
      </c>
      <c r="AB14" s="4">
        <v>243</v>
      </c>
      <c r="AC14" s="4">
        <v>45</v>
      </c>
      <c r="AD14" s="4">
        <v>468</v>
      </c>
      <c r="AE14" s="4">
        <v>10.45</v>
      </c>
      <c r="AF14" s="4">
        <v>215</v>
      </c>
    </row>
    <row r="15" spans="1:45" x14ac:dyDescent="0.3">
      <c r="A15" s="5">
        <v>41.272829149791271</v>
      </c>
      <c r="B15" s="4" cm="1">
        <f t="array" ref="B15:G15">_xlfn.SEQUENCE(1,6,A15-1,(H15-A15)/6)</f>
        <v>40.272829149791271</v>
      </c>
      <c r="C15" s="5">
        <v>37.263364568201304</v>
      </c>
      <c r="D15" s="5">
        <v>34.253899986611337</v>
      </c>
      <c r="E15" s="5">
        <v>31.244435405021367</v>
      </c>
      <c r="F15" s="5">
        <v>28.234970823431397</v>
      </c>
      <c r="G15" s="5">
        <v>25.225506241841426</v>
      </c>
      <c r="H15" s="5">
        <v>23.216041660251452</v>
      </c>
      <c r="I15" s="5">
        <v>85.481480805378922</v>
      </c>
      <c r="J15" s="4" cm="1">
        <f t="array" ref="J15:O15">_xlfn.SEQUENCE(1,6,I15-1,(P15-I15)/6)</f>
        <v>84.481480805378922</v>
      </c>
      <c r="K15" s="5">
        <v>81.39448543830936</v>
      </c>
      <c r="L15" s="5">
        <v>78.307490071239798</v>
      </c>
      <c r="M15" s="5">
        <v>75.220494704170235</v>
      </c>
      <c r="N15" s="5">
        <v>72.133499337100673</v>
      </c>
      <c r="O15" s="5">
        <v>69.046503970031111</v>
      </c>
      <c r="P15" s="5">
        <v>66.95950860296152</v>
      </c>
      <c r="Q15" s="5">
        <v>64.122392500694204</v>
      </c>
      <c r="R15" s="5">
        <v>28.44061025226631</v>
      </c>
      <c r="S15" s="4" cm="1">
        <f t="array" ref="S15:X15">_xlfn.SEQUENCE(1,6,R15-1,(Y15-R15)/6)</f>
        <v>27.44061025226631</v>
      </c>
      <c r="T15" s="5">
        <v>24.833373387159298</v>
      </c>
      <c r="U15" s="5">
        <v>22.226136522052286</v>
      </c>
      <c r="V15" s="5">
        <v>19.618899656945274</v>
      </c>
      <c r="W15" s="5">
        <v>17.011662791838262</v>
      </c>
      <c r="X15" s="5">
        <v>14.404425926731248</v>
      </c>
      <c r="Y15" s="5">
        <v>12.797189061624231</v>
      </c>
      <c r="Z15" s="5">
        <v>10.545607596486498</v>
      </c>
      <c r="AA15" s="5">
        <v>0.18453333333333335</v>
      </c>
      <c r="AB15" s="5">
        <v>194</v>
      </c>
      <c r="AC15" s="5">
        <v>38</v>
      </c>
      <c r="AD15" s="5">
        <v>396</v>
      </c>
      <c r="AE15" s="5">
        <v>10.220000000000001</v>
      </c>
      <c r="AF15" s="5">
        <v>85</v>
      </c>
    </row>
    <row r="16" spans="1:45" x14ac:dyDescent="0.3">
      <c r="A16" s="4">
        <v>41.012551693163388</v>
      </c>
      <c r="B16" s="4" cm="1">
        <f t="array" ref="B16:G16">_xlfn.SEQUENCE(1,6,A16-1,(H16-A16)/6)</f>
        <v>40.012551693163388</v>
      </c>
      <c r="C16" s="4">
        <v>36.988178928966278</v>
      </c>
      <c r="D16" s="4">
        <v>33.963806164769167</v>
      </c>
      <c r="E16" s="4">
        <v>30.939433400572057</v>
      </c>
      <c r="F16" s="4">
        <v>27.915060636374946</v>
      </c>
      <c r="G16" s="4">
        <v>24.890687872177836</v>
      </c>
      <c r="H16" s="4">
        <v>22.866315107980736</v>
      </c>
      <c r="I16" s="4">
        <v>95.305148415016518</v>
      </c>
      <c r="J16" s="4" cm="1">
        <f t="array" ref="J16:O16">_xlfn.SEQUENCE(1,6,I16-1,(P16-I16)/6)</f>
        <v>94.305148415016518</v>
      </c>
      <c r="K16" s="4">
        <v>90.574953868175811</v>
      </c>
      <c r="L16" s="4">
        <v>86.844759321335104</v>
      </c>
      <c r="M16" s="4">
        <v>83.114564774494397</v>
      </c>
      <c r="N16" s="4">
        <v>79.38437022765369</v>
      </c>
      <c r="O16" s="4">
        <v>75.654175680812983</v>
      </c>
      <c r="P16" s="4">
        <v>72.923981133972262</v>
      </c>
      <c r="Q16" s="4">
        <v>69.962503744414974</v>
      </c>
      <c r="R16" s="4">
        <v>28.454228416118255</v>
      </c>
      <c r="S16" s="4" cm="1">
        <f t="array" ref="S16:X16">_xlfn.SEQUENCE(1,6,R16-1,(Y16-R16)/6)</f>
        <v>27.454228416118255</v>
      </c>
      <c r="T16" s="4">
        <v>24.855378883423914</v>
      </c>
      <c r="U16" s="4">
        <v>22.256529350729572</v>
      </c>
      <c r="V16" s="4">
        <v>19.657679818035231</v>
      </c>
      <c r="W16" s="4">
        <v>17.058830285340889</v>
      </c>
      <c r="X16" s="4">
        <v>14.459980752646548</v>
      </c>
      <c r="Y16" s="4">
        <v>12.861131219952206</v>
      </c>
      <c r="Z16" s="4">
        <v>10.665264843488345</v>
      </c>
      <c r="AA16" s="4">
        <v>0.18059999999999998</v>
      </c>
      <c r="AB16" s="4">
        <v>196</v>
      </c>
      <c r="AC16" s="4">
        <v>38</v>
      </c>
      <c r="AD16" s="4">
        <v>400.5</v>
      </c>
      <c r="AE16" s="4">
        <v>10.35</v>
      </c>
      <c r="AF16" s="4">
        <v>95</v>
      </c>
    </row>
    <row r="17" spans="1:32" x14ac:dyDescent="0.3">
      <c r="A17" s="4">
        <v>40.071345243435921</v>
      </c>
      <c r="B17" s="4" cm="1">
        <f t="array" ref="B17:G17">_xlfn.SEQUENCE(1,6,A17-1,(H17-A17)/6)</f>
        <v>39.071345243435921</v>
      </c>
      <c r="C17" s="4">
        <v>36.021284090356964</v>
      </c>
      <c r="D17" s="4">
        <v>32.971222937278007</v>
      </c>
      <c r="E17" s="4">
        <v>29.92116178419905</v>
      </c>
      <c r="F17" s="4">
        <v>26.871100631120093</v>
      </c>
      <c r="G17" s="4">
        <v>23.821039478041136</v>
      </c>
      <c r="H17" s="4">
        <v>21.770978324962169</v>
      </c>
      <c r="I17" s="4">
        <v>105.04815866626802</v>
      </c>
      <c r="J17" s="4" cm="1">
        <f t="array" ref="J17:O17">_xlfn.SEQUENCE(1,6,I17-1,(P17-I17)/6)</f>
        <v>104.04815866626802</v>
      </c>
      <c r="K17" s="4">
        <v>99.712644828833817</v>
      </c>
      <c r="L17" s="4">
        <v>95.377130991399611</v>
      </c>
      <c r="M17" s="4">
        <v>91.041617153965404</v>
      </c>
      <c r="N17" s="4">
        <v>86.706103316531198</v>
      </c>
      <c r="O17" s="4">
        <v>82.370589479096992</v>
      </c>
      <c r="P17" s="4">
        <v>79.035075641662772</v>
      </c>
      <c r="Q17" s="4">
        <v>75.513374180854143</v>
      </c>
      <c r="R17" s="4">
        <v>27.517033713842046</v>
      </c>
      <c r="S17" s="4" cm="1">
        <f t="array" ref="S17:X17">_xlfn.SEQUENCE(1,6,R17-1,(Y17-R17)/6)</f>
        <v>26.517033713842046</v>
      </c>
      <c r="T17" s="4">
        <v>24.005263856927794</v>
      </c>
      <c r="U17" s="4">
        <v>21.493494000013541</v>
      </c>
      <c r="V17" s="4">
        <v>18.981724143099289</v>
      </c>
      <c r="W17" s="4">
        <v>16.469954286185036</v>
      </c>
      <c r="X17" s="4">
        <v>13.958184429270784</v>
      </c>
      <c r="Y17" s="4">
        <v>12.446414572356527</v>
      </c>
      <c r="Z17" s="4">
        <v>10.385776404800637</v>
      </c>
      <c r="AA17" s="4">
        <v>0.17193333333333333</v>
      </c>
      <c r="AB17" s="4">
        <v>210</v>
      </c>
      <c r="AC17" s="4">
        <v>40</v>
      </c>
      <c r="AD17" s="4">
        <v>426</v>
      </c>
      <c r="AE17" s="4">
        <v>10.11</v>
      </c>
      <c r="AF17" s="4">
        <v>105</v>
      </c>
    </row>
    <row r="18" spans="1:32" x14ac:dyDescent="0.3">
      <c r="A18" s="4">
        <v>40.574960925697575</v>
      </c>
      <c r="B18" s="4" cm="1">
        <f t="array" ref="B18:G18">_xlfn.SEQUENCE(1,6,A18-1,(H18-A18)/6)</f>
        <v>39.574960925697575</v>
      </c>
      <c r="C18" s="4">
        <v>36.481923470834062</v>
      </c>
      <c r="D18" s="4">
        <v>33.388886015970549</v>
      </c>
      <c r="E18" s="4">
        <v>30.295848561107036</v>
      </c>
      <c r="F18" s="4">
        <v>27.202811106243523</v>
      </c>
      <c r="G18" s="4">
        <v>24.10977365138001</v>
      </c>
      <c r="H18" s="4">
        <v>22.016736196516494</v>
      </c>
      <c r="I18" s="4">
        <v>114.53071499996919</v>
      </c>
      <c r="J18" s="4" cm="1">
        <f t="array" ref="J18:O18">_xlfn.SEQUENCE(1,6,I18-1,(P18-I18)/6)</f>
        <v>113.53071499996919</v>
      </c>
      <c r="K18" s="4">
        <v>108.62308194073916</v>
      </c>
      <c r="L18" s="4">
        <v>103.71544888150912</v>
      </c>
      <c r="M18" s="4">
        <v>98.807815822279082</v>
      </c>
      <c r="N18" s="4">
        <v>93.900182763049045</v>
      </c>
      <c r="O18" s="4">
        <v>88.992549703819009</v>
      </c>
      <c r="P18" s="4">
        <v>85.084916644588972</v>
      </c>
      <c r="Q18" s="4">
        <v>81.155844510654006</v>
      </c>
      <c r="R18" s="4">
        <v>27.934206581592626</v>
      </c>
      <c r="S18" s="4" cm="1">
        <f t="array" ref="S18:X18">_xlfn.SEQUENCE(1,6,R18-1,(Y18-R18)/6)</f>
        <v>26.934206581592626</v>
      </c>
      <c r="T18" s="4">
        <v>24.390271514207999</v>
      </c>
      <c r="U18" s="4">
        <v>21.846336446823372</v>
      </c>
      <c r="V18" s="4">
        <v>19.302401379438745</v>
      </c>
      <c r="W18" s="4">
        <v>16.758466312054118</v>
      </c>
      <c r="X18" s="4">
        <v>14.214531244669489</v>
      </c>
      <c r="Y18" s="4">
        <v>12.670596177284857</v>
      </c>
      <c r="Z18" s="4">
        <v>10.543588792347546</v>
      </c>
      <c r="AA18" s="4">
        <v>0.16919999999999999</v>
      </c>
      <c r="AB18" s="4">
        <v>211</v>
      </c>
      <c r="AC18" s="4">
        <v>41</v>
      </c>
      <c r="AD18" s="4">
        <v>432</v>
      </c>
      <c r="AE18" s="4">
        <v>10.26</v>
      </c>
      <c r="AF18" s="4">
        <v>115</v>
      </c>
    </row>
    <row r="19" spans="1:32" x14ac:dyDescent="0.3">
      <c r="A19" s="4">
        <v>36.587635392517228</v>
      </c>
      <c r="B19" s="4" cm="1">
        <f t="array" ref="B19:G19">_xlfn.SEQUENCE(1,6,A19-1,(H19-A19)/6)</f>
        <v>35.587635392517228</v>
      </c>
      <c r="C19" s="4">
        <v>32.547692327718153</v>
      </c>
      <c r="D19" s="4">
        <v>29.507749262919077</v>
      </c>
      <c r="E19" s="4">
        <v>26.467806198120002</v>
      </c>
      <c r="F19" s="4">
        <v>23.427863133320926</v>
      </c>
      <c r="G19" s="4">
        <v>20.387920068521851</v>
      </c>
      <c r="H19" s="4">
        <v>18.347977003722775</v>
      </c>
      <c r="I19" s="4">
        <v>84.735509713067401</v>
      </c>
      <c r="J19" s="4" cm="1">
        <f t="array" ref="J19:O19">_xlfn.SEQUENCE(1,6,I19-1,(P19-I19)/6)</f>
        <v>83.735509713067401</v>
      </c>
      <c r="K19" s="4">
        <v>81.435691112323696</v>
      </c>
      <c r="L19" s="4">
        <v>79.13587251157999</v>
      </c>
      <c r="M19" s="4">
        <v>76.836053910836284</v>
      </c>
      <c r="N19" s="4">
        <v>74.536235310092579</v>
      </c>
      <c r="O19" s="4">
        <v>72.236416709348873</v>
      </c>
      <c r="P19" s="4">
        <v>70.936598108605196</v>
      </c>
      <c r="Q19" s="4">
        <v>69.018677699678094</v>
      </c>
      <c r="R19" s="4">
        <v>24.665974927837247</v>
      </c>
      <c r="S19" s="4" cm="1">
        <f t="array" ref="S19:X19">_xlfn.SEQUENCE(1,6,R19-1,(Y19-R19)/6)</f>
        <v>23.665974927837247</v>
      </c>
      <c r="T19" s="4">
        <v>21.572775578496735</v>
      </c>
      <c r="U19" s="4">
        <v>19.479576229156223</v>
      </c>
      <c r="V19" s="4">
        <v>17.38637687981571</v>
      </c>
      <c r="W19" s="4">
        <v>15.2931775304752</v>
      </c>
      <c r="X19" s="4">
        <v>13.199978181134689</v>
      </c>
      <c r="Y19" s="4">
        <v>12.106778831794182</v>
      </c>
      <c r="Z19" s="4">
        <v>10.328979374415445</v>
      </c>
      <c r="AA19" s="4">
        <v>0.30980000000000002</v>
      </c>
      <c r="AB19" s="4">
        <v>403</v>
      </c>
      <c r="AC19" s="4">
        <v>82</v>
      </c>
      <c r="AD19" s="4">
        <v>831</v>
      </c>
      <c r="AE19" s="4">
        <v>10.130000000000001</v>
      </c>
      <c r="AF19" s="4">
        <v>85</v>
      </c>
    </row>
    <row r="20" spans="1:32" x14ac:dyDescent="0.3">
      <c r="A20" s="4">
        <v>38.233810418302461</v>
      </c>
      <c r="B20" s="4" cm="1">
        <f t="array" ref="B20:G20">_xlfn.SEQUENCE(1,6,A20-1,(H20-A20)/6)</f>
        <v>37.233810418302461</v>
      </c>
      <c r="C20" s="4">
        <v>33.978430124063848</v>
      </c>
      <c r="D20" s="4">
        <v>30.723049829825236</v>
      </c>
      <c r="E20" s="4">
        <v>27.467669535586623</v>
      </c>
      <c r="F20" s="4">
        <v>24.21228924134801</v>
      </c>
      <c r="G20" s="4">
        <v>20.956908947109397</v>
      </c>
      <c r="H20" s="4">
        <v>18.701528652870785</v>
      </c>
      <c r="I20" s="4">
        <v>114.52931654887868</v>
      </c>
      <c r="J20" s="4" cm="1">
        <f t="array" ref="J20:O20">_xlfn.SEQUENCE(1,6,I20-1,(P20-I20)/6)</f>
        <v>113.52931654887868</v>
      </c>
      <c r="K20" s="4">
        <v>109.91762334402748</v>
      </c>
      <c r="L20" s="4">
        <v>106.30593013917627</v>
      </c>
      <c r="M20" s="4">
        <v>102.69423693432506</v>
      </c>
      <c r="N20" s="4">
        <v>99.082543729473855</v>
      </c>
      <c r="O20" s="4">
        <v>95.470850524622648</v>
      </c>
      <c r="P20" s="4">
        <v>92.859157319771441</v>
      </c>
      <c r="Q20" s="4">
        <v>89.63205555957768</v>
      </c>
      <c r="R20" s="4">
        <v>25.604672425613842</v>
      </c>
      <c r="S20" s="4" cm="1">
        <f t="array" ref="S20:X20">_xlfn.SEQUENCE(1,6,R20-1,(Y20-R20)/6)</f>
        <v>24.604672425613842</v>
      </c>
      <c r="T20" s="4">
        <v>22.336751203913565</v>
      </c>
      <c r="U20" s="4">
        <v>20.068829982213288</v>
      </c>
      <c r="V20" s="4">
        <v>17.800908760513011</v>
      </c>
      <c r="W20" s="4">
        <v>15.532987538812733</v>
      </c>
      <c r="X20" s="4">
        <v>13.265066317112456</v>
      </c>
      <c r="Y20" s="4">
        <v>11.997145095412179</v>
      </c>
      <c r="Z20" s="4">
        <v>9.9652301522719569</v>
      </c>
      <c r="AA20" s="4">
        <v>0.30099999999999993</v>
      </c>
      <c r="AB20" s="4">
        <v>417</v>
      </c>
      <c r="AC20" s="4">
        <v>82</v>
      </c>
      <c r="AD20" s="4">
        <v>834</v>
      </c>
      <c r="AE20" s="4">
        <v>9.7200000000000006</v>
      </c>
      <c r="AF20" s="4">
        <v>115</v>
      </c>
    </row>
    <row r="21" spans="1:32" x14ac:dyDescent="0.3">
      <c r="A21" s="4">
        <v>38.947820142586231</v>
      </c>
      <c r="B21" s="4" cm="1">
        <f t="array" ref="B21:G21">_xlfn.SEQUENCE(1,6,A21-1,(H21-A21)/6)</f>
        <v>37.947820142586231</v>
      </c>
      <c r="C21" s="4">
        <v>34.585868887298894</v>
      </c>
      <c r="D21" s="4">
        <v>31.223917632011556</v>
      </c>
      <c r="E21" s="4">
        <v>27.861966376724219</v>
      </c>
      <c r="F21" s="4">
        <v>24.500015121436881</v>
      </c>
      <c r="G21" s="4">
        <v>21.138063866149544</v>
      </c>
      <c r="H21" s="4">
        <v>18.776112610862199</v>
      </c>
      <c r="I21" s="4">
        <v>144.26288077611062</v>
      </c>
      <c r="J21" s="4" cm="1">
        <f t="array" ref="J21:O21">_xlfn.SEQUENCE(1,6,I21-1,(P21-I21)/6)</f>
        <v>143.26288077611062</v>
      </c>
      <c r="K21" s="4">
        <v>138.1457478409049</v>
      </c>
      <c r="L21" s="4">
        <v>133.02861490569916</v>
      </c>
      <c r="M21" s="4">
        <v>127.91148197049343</v>
      </c>
      <c r="N21" s="4">
        <v>122.79434903528769</v>
      </c>
      <c r="O21" s="4">
        <v>117.67721610008196</v>
      </c>
      <c r="P21" s="4">
        <v>113.56008316487623</v>
      </c>
      <c r="Q21" s="4">
        <v>109.42332351596743</v>
      </c>
      <c r="R21" s="4">
        <v>25.813425099806192</v>
      </c>
      <c r="S21" s="4" cm="1">
        <f t="array" ref="S21:X21">_xlfn.SEQUENCE(1,6,R21-1,(Y21-R21)/6)</f>
        <v>24.813425099806192</v>
      </c>
      <c r="T21" s="4">
        <v>22.503800414518523</v>
      </c>
      <c r="U21" s="4">
        <v>20.194175729230853</v>
      </c>
      <c r="V21" s="4">
        <v>17.884551043943183</v>
      </c>
      <c r="W21" s="4">
        <v>15.574926358655514</v>
      </c>
      <c r="X21" s="4">
        <v>13.265301673367844</v>
      </c>
      <c r="Y21" s="4">
        <v>11.955676988080176</v>
      </c>
      <c r="Z21" s="4">
        <v>9.9155022251573897</v>
      </c>
      <c r="AA21" s="4">
        <v>0.28139999999999998</v>
      </c>
      <c r="AB21" s="4">
        <v>417</v>
      </c>
      <c r="AC21" s="4">
        <v>82</v>
      </c>
      <c r="AD21" s="4">
        <v>856.5</v>
      </c>
      <c r="AE21" s="4">
        <v>9.66</v>
      </c>
      <c r="AF21" s="4">
        <v>145</v>
      </c>
    </row>
    <row r="22" spans="1:32" x14ac:dyDescent="0.3">
      <c r="A22" s="4">
        <v>39.723044650081384</v>
      </c>
      <c r="B22" s="4" cm="1">
        <f t="array" ref="B22:G22">_xlfn.SEQUENCE(1,6,A22-1,(H22-A22)/6)</f>
        <v>38.723044650081384</v>
      </c>
      <c r="C22" s="4">
        <v>35.267644543215837</v>
      </c>
      <c r="D22" s="4">
        <v>31.812244436350287</v>
      </c>
      <c r="E22" s="4">
        <v>28.356844329484737</v>
      </c>
      <c r="F22" s="4">
        <v>24.901444222619187</v>
      </c>
      <c r="G22" s="4">
        <v>21.446044115753637</v>
      </c>
      <c r="H22" s="4">
        <v>18.99064400888809</v>
      </c>
      <c r="I22" s="4">
        <v>173.58971632859024</v>
      </c>
      <c r="J22" s="4" cm="1">
        <f t="array" ref="J22:O22">_xlfn.SEQUENCE(1,6,I22-1,(P22-I22)/6)</f>
        <v>172.58971632859024</v>
      </c>
      <c r="K22" s="4">
        <v>166.27352809002974</v>
      </c>
      <c r="L22" s="4">
        <v>159.95733985146924</v>
      </c>
      <c r="M22" s="4">
        <v>153.64115161290874</v>
      </c>
      <c r="N22" s="4">
        <v>147.32496337434824</v>
      </c>
      <c r="O22" s="4">
        <v>141.00877513578774</v>
      </c>
      <c r="P22" s="4">
        <v>135.69258689722719</v>
      </c>
      <c r="Q22" s="4">
        <v>128.67415829970389</v>
      </c>
      <c r="R22" s="4">
        <v>26.351803238936142</v>
      </c>
      <c r="S22" s="4" cm="1">
        <f t="array" ref="S22:X22">_xlfn.SEQUENCE(1,6,R22-1,(Y22-R22)/6)</f>
        <v>25.351803238936142</v>
      </c>
      <c r="T22" s="4">
        <v>22.966612264453307</v>
      </c>
      <c r="U22" s="4">
        <v>20.581421289970471</v>
      </c>
      <c r="V22" s="4">
        <v>18.196230315487636</v>
      </c>
      <c r="W22" s="4">
        <v>15.811039341004802</v>
      </c>
      <c r="X22" s="4">
        <v>13.425848366521969</v>
      </c>
      <c r="Y22" s="4">
        <v>12.040657392039137</v>
      </c>
      <c r="Z22" s="4">
        <v>9.8680330879029334</v>
      </c>
      <c r="AA22" s="4">
        <v>0.28849999999999998</v>
      </c>
      <c r="AB22" s="4">
        <v>459</v>
      </c>
      <c r="AC22" s="4">
        <v>90</v>
      </c>
      <c r="AD22" s="4">
        <v>931.5</v>
      </c>
      <c r="AE22" s="4">
        <v>9.56</v>
      </c>
      <c r="AF22" s="4">
        <v>175</v>
      </c>
    </row>
    <row r="23" spans="1:32" x14ac:dyDescent="0.3">
      <c r="A23" s="4">
        <v>42.208121738616342</v>
      </c>
      <c r="B23" s="4" cm="1">
        <f t="array" ref="B23:G23">_xlfn.SEQUENCE(1,6,A23-1,(H23-A23)/6)</f>
        <v>41.208121738616342</v>
      </c>
      <c r="C23" s="4">
        <v>37.476002896929117</v>
      </c>
      <c r="D23" s="4">
        <v>33.743884055241892</v>
      </c>
      <c r="E23" s="4">
        <v>30.011765213554668</v>
      </c>
      <c r="F23" s="4">
        <v>26.279646371867443</v>
      </c>
      <c r="G23" s="4">
        <v>22.547527530180218</v>
      </c>
      <c r="H23" s="4">
        <v>19.815408688493001</v>
      </c>
      <c r="I23" s="4">
        <v>205.04684869774783</v>
      </c>
      <c r="J23" s="4" cm="1">
        <f t="array" ref="J23:O23">_xlfn.SEQUENCE(1,6,I23-1,(P23-I23)/6)</f>
        <v>204.04684869774783</v>
      </c>
      <c r="K23" s="4">
        <v>196.34071162204623</v>
      </c>
      <c r="L23" s="4">
        <v>188.6345745463446</v>
      </c>
      <c r="M23" s="4">
        <v>180.92843747064296</v>
      </c>
      <c r="N23" s="4">
        <v>173.22230039494133</v>
      </c>
      <c r="O23" s="4">
        <v>165.51616331923969</v>
      </c>
      <c r="P23" s="4">
        <v>158.81002624353812</v>
      </c>
      <c r="Q23" s="4">
        <v>153.07961706238299</v>
      </c>
      <c r="R23" s="4">
        <v>27.723567938627557</v>
      </c>
      <c r="S23" s="4" cm="1">
        <f t="array" ref="S23:X23">_xlfn.SEQUENCE(1,6,R23-1,(Y23-R23)/6)</f>
        <v>26.723567938627557</v>
      </c>
      <c r="T23" s="4">
        <v>24.140822872680108</v>
      </c>
      <c r="U23" s="4">
        <v>21.558077806732658</v>
      </c>
      <c r="V23" s="4">
        <v>18.975332740785209</v>
      </c>
      <c r="W23" s="4">
        <v>16.39258767483776</v>
      </c>
      <c r="X23" s="4">
        <v>13.80984260889031</v>
      </c>
      <c r="Y23" s="4">
        <v>12.227097542942865</v>
      </c>
      <c r="Z23" s="4">
        <v>9.8139263314911354</v>
      </c>
      <c r="AA23" s="4">
        <v>0.28589999999999999</v>
      </c>
      <c r="AB23" s="4">
        <v>463</v>
      </c>
      <c r="AC23" s="4">
        <v>94</v>
      </c>
      <c r="AD23" s="4">
        <v>930</v>
      </c>
      <c r="AE23" s="4">
        <v>9.5</v>
      </c>
      <c r="AF23" s="4">
        <v>205</v>
      </c>
    </row>
    <row r="24" spans="1:32" x14ac:dyDescent="0.3">
      <c r="A24" s="4">
        <v>47.532524291466302</v>
      </c>
      <c r="B24" s="4" cm="1">
        <f t="array" ref="B24:G24">_xlfn.SEQUENCE(1,6,A24-1,(H24-A24)/6)</f>
        <v>46.532524291466302</v>
      </c>
      <c r="C24" s="4">
        <v>43.283334352682836</v>
      </c>
      <c r="D24" s="4">
        <v>40.034144413899369</v>
      </c>
      <c r="E24" s="4">
        <v>36.784954475115903</v>
      </c>
      <c r="F24" s="4">
        <v>33.535764536332437</v>
      </c>
      <c r="G24" s="4">
        <v>30.286574597548967</v>
      </c>
      <c r="H24" s="4">
        <v>28.03738465876549</v>
      </c>
      <c r="I24" s="4">
        <v>84.028525760878992</v>
      </c>
      <c r="J24" s="4" cm="1">
        <f t="array" ref="J24:O24">_xlfn.SEQUENCE(1,6,I24-1,(P24-I24)/6)</f>
        <v>83.028525760878992</v>
      </c>
      <c r="K24" s="4">
        <v>79.757957327923592</v>
      </c>
      <c r="L24" s="4">
        <v>76.487388894968191</v>
      </c>
      <c r="M24" s="4">
        <v>73.216820462012791</v>
      </c>
      <c r="N24" s="4">
        <v>69.946252029057391</v>
      </c>
      <c r="O24" s="4">
        <v>66.67568359610199</v>
      </c>
      <c r="P24" s="4">
        <v>64.405115163146618</v>
      </c>
      <c r="Q24" s="4">
        <v>61.888009230063005</v>
      </c>
      <c r="R24" s="4">
        <v>34.856563715956149</v>
      </c>
      <c r="S24" s="4" cm="1">
        <f t="array" ref="S24:X24">_xlfn.SEQUENCE(1,6,R24-1,(Y24-R24)/6)</f>
        <v>33.856563715956149</v>
      </c>
      <c r="T24" s="4">
        <v>30.395830558650594</v>
      </c>
      <c r="U24" s="4">
        <v>26.93509740134504</v>
      </c>
      <c r="V24" s="4">
        <v>23.474364244039485</v>
      </c>
      <c r="W24" s="4">
        <v>20.01363108673393</v>
      </c>
      <c r="X24" s="4">
        <v>16.552897929428376</v>
      </c>
      <c r="Y24" s="4">
        <v>14.092164772122825</v>
      </c>
      <c r="Z24" s="4">
        <v>10.78823905729471</v>
      </c>
      <c r="AA24" s="4">
        <v>0.15426666666666666</v>
      </c>
      <c r="AB24" s="4">
        <v>119</v>
      </c>
      <c r="AC24" s="4">
        <v>23</v>
      </c>
      <c r="AD24" s="4">
        <v>241.5</v>
      </c>
      <c r="AE24" s="4">
        <v>10.1</v>
      </c>
      <c r="AF24" s="4">
        <v>85</v>
      </c>
    </row>
    <row r="25" spans="1:32" x14ac:dyDescent="0.3">
      <c r="A25" s="4">
        <v>49.650528254808684</v>
      </c>
      <c r="B25" s="4" cm="1">
        <f t="array" ref="B25:G25">_xlfn.SEQUENCE(1,6,A25-1,(H25-A25)/6)</f>
        <v>48.650528254808684</v>
      </c>
      <c r="C25" s="4">
        <v>45.204611147421787</v>
      </c>
      <c r="D25" s="4">
        <v>41.758694040034889</v>
      </c>
      <c r="E25" s="4">
        <v>38.312776932647992</v>
      </c>
      <c r="F25" s="4">
        <v>34.866859825261095</v>
      </c>
      <c r="G25" s="4">
        <v>31.420942717874198</v>
      </c>
      <c r="H25" s="4">
        <v>28.975025610487297</v>
      </c>
      <c r="I25" s="4">
        <v>115.18600689907623</v>
      </c>
      <c r="J25" s="4" cm="1">
        <f t="array" ref="J25:O25">_xlfn.SEQUENCE(1,6,I25-1,(P25-I25)/6)</f>
        <v>114.18600689907623</v>
      </c>
      <c r="K25" s="4">
        <v>108.59344378398985</v>
      </c>
      <c r="L25" s="4">
        <v>103.00088066890348</v>
      </c>
      <c r="M25" s="4">
        <v>97.408317553817099</v>
      </c>
      <c r="N25" s="4">
        <v>91.815754438730721</v>
      </c>
      <c r="O25" s="4">
        <v>86.223191323644343</v>
      </c>
      <c r="P25" s="4">
        <v>81.630628208557951</v>
      </c>
      <c r="Q25" s="4">
        <v>77.056588519749198</v>
      </c>
      <c r="R25" s="4">
        <v>36.08885432302349</v>
      </c>
      <c r="S25" s="4" cm="1">
        <f t="array" ref="S25:X25">_xlfn.SEQUENCE(1,6,R25-1,(Y25-R25)/6)</f>
        <v>35.08885432302349</v>
      </c>
      <c r="T25" s="4">
        <v>31.387036773588527</v>
      </c>
      <c r="U25" s="4">
        <v>27.685219224153563</v>
      </c>
      <c r="V25" s="4">
        <v>23.9834016747186</v>
      </c>
      <c r="W25" s="4">
        <v>20.281584125283636</v>
      </c>
      <c r="X25" s="4">
        <v>16.579766575848673</v>
      </c>
      <c r="Y25" s="4">
        <v>13.877949026413706</v>
      </c>
      <c r="Z25" s="4">
        <v>10.516459939704319</v>
      </c>
      <c r="AA25" s="4">
        <v>0.16253333333333334</v>
      </c>
      <c r="AB25" s="4">
        <v>128</v>
      </c>
      <c r="AC25" s="4">
        <v>25</v>
      </c>
      <c r="AD25" s="4">
        <v>261</v>
      </c>
      <c r="AE25" s="4">
        <v>9.75</v>
      </c>
      <c r="AF25" s="4">
        <v>115</v>
      </c>
    </row>
    <row r="26" spans="1:32" x14ac:dyDescent="0.3">
      <c r="A26" s="4">
        <v>50.452827236812453</v>
      </c>
      <c r="B26" s="4" cm="1">
        <f t="array" ref="B26:G26">_xlfn.SEQUENCE(1,6,A26-1,(H26-A26)/6)</f>
        <v>49.452827236812453</v>
      </c>
      <c r="C26" s="4">
        <v>45.99044385181368</v>
      </c>
      <c r="D26" s="4">
        <v>42.528060466814907</v>
      </c>
      <c r="E26" s="4">
        <v>39.065677081816133</v>
      </c>
      <c r="F26" s="4">
        <v>35.60329369681736</v>
      </c>
      <c r="G26" s="4">
        <v>32.140910311818587</v>
      </c>
      <c r="H26" s="4">
        <v>29.678526926819803</v>
      </c>
      <c r="I26" s="4">
        <v>145.05215013387746</v>
      </c>
      <c r="J26" s="4" cm="1">
        <f t="array" ref="J26:O26">_xlfn.SEQUENCE(1,6,I26-1,(P26-I26)/6)</f>
        <v>144.05215013387746</v>
      </c>
      <c r="K26" s="4">
        <v>136.63565586990973</v>
      </c>
      <c r="L26" s="4">
        <v>129.21916160594199</v>
      </c>
      <c r="M26" s="4">
        <v>121.80266734197426</v>
      </c>
      <c r="N26" s="4">
        <v>114.38617307800652</v>
      </c>
      <c r="O26" s="4">
        <v>106.96967881403879</v>
      </c>
      <c r="P26" s="4">
        <v>100.55318455007109</v>
      </c>
      <c r="Q26" s="4">
        <v>94.777151568774698</v>
      </c>
      <c r="R26" s="4">
        <v>36.924312909100841</v>
      </c>
      <c r="S26" s="4" cm="1">
        <f t="array" ref="S26:X26">_xlfn.SEQUENCE(1,6,R26-1,(Y26-R26)/6)</f>
        <v>35.924312909100841</v>
      </c>
      <c r="T26" s="4">
        <v>32.098906345645716</v>
      </c>
      <c r="U26" s="4">
        <v>28.273499782190591</v>
      </c>
      <c r="V26" s="4">
        <v>24.448093218735465</v>
      </c>
      <c r="W26" s="4">
        <v>20.62268665528034</v>
      </c>
      <c r="X26" s="4">
        <v>16.797280091825215</v>
      </c>
      <c r="Y26" s="4">
        <v>13.971873528370089</v>
      </c>
      <c r="Z26" s="4">
        <v>10.430421951281346</v>
      </c>
      <c r="AA26" s="4">
        <v>0.16300000000000001</v>
      </c>
      <c r="AB26" s="4">
        <v>137</v>
      </c>
      <c r="AC26" s="4">
        <v>27</v>
      </c>
      <c r="AD26" s="4">
        <v>276</v>
      </c>
      <c r="AE26" s="4">
        <v>9.7200000000000006</v>
      </c>
      <c r="AF26" s="4">
        <v>145</v>
      </c>
    </row>
    <row r="27" spans="1:32" x14ac:dyDescent="0.3">
      <c r="A27" s="4">
        <v>52.293734855676917</v>
      </c>
      <c r="B27" s="4" cm="1">
        <f t="array" ref="B27:G27">_xlfn.SEQUENCE(1,6,A27-1,(H27-A27)/6)</f>
        <v>51.293734855676917</v>
      </c>
      <c r="C27" s="4">
        <v>47.720127722654738</v>
      </c>
      <c r="D27" s="4">
        <v>44.146520589632559</v>
      </c>
      <c r="E27" s="4">
        <v>40.57291345661038</v>
      </c>
      <c r="F27" s="4">
        <v>36.9993063235882</v>
      </c>
      <c r="G27" s="4">
        <v>33.425699190566021</v>
      </c>
      <c r="H27" s="4">
        <v>30.852092057543846</v>
      </c>
      <c r="I27" s="4">
        <v>174.75870483962413</v>
      </c>
      <c r="J27" s="4" cm="1">
        <f t="array" ref="J27:O27">_xlfn.SEQUENCE(1,6,I27-1,(P27-I27)/6)</f>
        <v>173.75870483962413</v>
      </c>
      <c r="K27" s="4">
        <v>164.38116720928267</v>
      </c>
      <c r="L27" s="4">
        <v>155.0036295789412</v>
      </c>
      <c r="M27" s="4">
        <v>145.62609194859974</v>
      </c>
      <c r="N27" s="4">
        <v>136.24855431825827</v>
      </c>
      <c r="O27" s="4">
        <v>126.87101668791681</v>
      </c>
      <c r="P27" s="4">
        <v>118.4934790575753</v>
      </c>
      <c r="Q27" s="4">
        <v>111.5956575989574</v>
      </c>
      <c r="R27" s="4">
        <v>37.994846648700126</v>
      </c>
      <c r="S27" s="4" cm="1">
        <f t="array" ref="S27:X27">_xlfn.SEQUENCE(1,6,R27-1,(Y27-R27)/6)</f>
        <v>36.994846648700126</v>
      </c>
      <c r="T27" s="4">
        <v>33.00237931110081</v>
      </c>
      <c r="U27" s="4">
        <v>29.009911973501495</v>
      </c>
      <c r="V27" s="4">
        <v>25.01744463590218</v>
      </c>
      <c r="W27" s="4">
        <v>21.024977298302865</v>
      </c>
      <c r="X27" s="4">
        <v>17.03250996070355</v>
      </c>
      <c r="Y27" s="4">
        <v>14.040042623104224</v>
      </c>
      <c r="Z27" s="4">
        <v>10.277985013829799</v>
      </c>
      <c r="AA27" s="4">
        <v>0.159</v>
      </c>
      <c r="AB27" s="4">
        <v>142</v>
      </c>
      <c r="AC27" s="4">
        <v>28</v>
      </c>
      <c r="AD27" s="4">
        <v>282</v>
      </c>
      <c r="AE27" s="4">
        <v>9.5500000000000007</v>
      </c>
      <c r="AF27" s="4">
        <v>175</v>
      </c>
    </row>
    <row r="28" spans="1:32" x14ac:dyDescent="0.3">
      <c r="A28" s="4">
        <v>55.412313098788083</v>
      </c>
      <c r="B28" s="4" cm="1">
        <f t="array" ref="B28:G28">_xlfn.SEQUENCE(1,6,A28-1,(H28-A28)/6)</f>
        <v>54.412313098788083</v>
      </c>
      <c r="C28" s="4">
        <v>50.511619007845624</v>
      </c>
      <c r="D28" s="4">
        <v>46.610924916903166</v>
      </c>
      <c r="E28" s="4">
        <v>42.710230825960707</v>
      </c>
      <c r="F28" s="4">
        <v>38.809536735018249</v>
      </c>
      <c r="G28" s="4">
        <v>34.90884264407579</v>
      </c>
      <c r="H28" s="4">
        <v>32.008148553133346</v>
      </c>
      <c r="I28" s="4">
        <v>204.03931947679385</v>
      </c>
      <c r="J28" s="4" cm="1">
        <f t="array" ref="J28:O28">_xlfn.SEQUENCE(1,6,I28-1,(P28-I28)/6)</f>
        <v>203.03931947679385</v>
      </c>
      <c r="K28" s="4">
        <v>191.86845222931524</v>
      </c>
      <c r="L28" s="4">
        <v>180.69758498183663</v>
      </c>
      <c r="M28" s="4">
        <v>169.52671773435802</v>
      </c>
      <c r="N28" s="4">
        <v>158.3558504868794</v>
      </c>
      <c r="O28" s="4">
        <v>147.18498323940079</v>
      </c>
      <c r="P28" s="4">
        <v>137.01411599192218</v>
      </c>
      <c r="Q28" s="4">
        <v>129.44273162186713</v>
      </c>
      <c r="R28" s="4">
        <v>39.494601574564733</v>
      </c>
      <c r="S28" s="4" cm="1">
        <f t="array" ref="S28:X28">_xlfn.SEQUENCE(1,6,R28-1,(Y28-R28)/6)</f>
        <v>38.494601574564733</v>
      </c>
      <c r="T28" s="4">
        <v>34.281204948995637</v>
      </c>
      <c r="U28" s="4">
        <v>30.067808323426544</v>
      </c>
      <c r="V28" s="4">
        <v>25.854411697857451</v>
      </c>
      <c r="W28" s="4">
        <v>21.641015072288358</v>
      </c>
      <c r="X28" s="4">
        <v>17.427618446719265</v>
      </c>
      <c r="Y28" s="4">
        <v>14.214221821150176</v>
      </c>
      <c r="Z28" s="4">
        <v>10.176910296437384</v>
      </c>
      <c r="AA28" s="4">
        <v>0.16186666666666669</v>
      </c>
      <c r="AB28" s="4">
        <v>150</v>
      </c>
      <c r="AC28" s="4">
        <v>30</v>
      </c>
      <c r="AD28" s="4">
        <v>297</v>
      </c>
      <c r="AE28" s="4">
        <v>9.51</v>
      </c>
      <c r="AF28" s="4">
        <v>205</v>
      </c>
    </row>
    <row r="29" spans="1:32" x14ac:dyDescent="0.3">
      <c r="A29" s="4">
        <v>31.708318479737795</v>
      </c>
      <c r="B29" s="4" cm="1">
        <f t="array" ref="B29:G29">_xlfn.SEQUENCE(1,6,A29-1,(H29-A29)/6)</f>
        <v>30.708318479737795</v>
      </c>
      <c r="C29" s="4">
        <v>28.406067296099959</v>
      </c>
      <c r="D29" s="4">
        <v>26.103816112462123</v>
      </c>
      <c r="E29" s="4">
        <v>23.801564928824288</v>
      </c>
      <c r="F29" s="4">
        <v>21.499313745186452</v>
      </c>
      <c r="G29" s="4">
        <v>19.197062561548616</v>
      </c>
      <c r="H29" s="4">
        <v>17.894811377910781</v>
      </c>
      <c r="I29" s="4">
        <v>85.635772759613303</v>
      </c>
      <c r="J29" s="4" cm="1">
        <f t="array" ref="J29:O29">_xlfn.SEQUENCE(1,6,I29-1,(P29-I29)/6)</f>
        <v>84.635772759613303</v>
      </c>
      <c r="K29" s="4">
        <v>81.041978430197958</v>
      </c>
      <c r="L29" s="4">
        <v>77.448184100782612</v>
      </c>
      <c r="M29" s="4">
        <v>73.854389771367266</v>
      </c>
      <c r="N29" s="4">
        <v>70.260595441951921</v>
      </c>
      <c r="O29" s="4">
        <v>66.666801112536575</v>
      </c>
      <c r="P29" s="4">
        <v>64.073006783121244</v>
      </c>
      <c r="Q29" s="4">
        <v>61.219415022098246</v>
      </c>
      <c r="R29" s="4">
        <v>21.209244605858888</v>
      </c>
      <c r="S29" s="4" cm="1">
        <f t="array" ref="S29:X29">_xlfn.SEQUENCE(1,6,R29-1,(Y29-R29)/6)</f>
        <v>20.209244605858888</v>
      </c>
      <c r="T29" s="4">
        <v>18.402930569441192</v>
      </c>
      <c r="U29" s="4">
        <v>16.596616533023496</v>
      </c>
      <c r="V29" s="4">
        <v>14.790302496605801</v>
      </c>
      <c r="W29" s="4">
        <v>12.983988460188105</v>
      </c>
      <c r="X29" s="4">
        <v>11.177674423770409</v>
      </c>
      <c r="Y29" s="4">
        <v>10.371360387352713</v>
      </c>
      <c r="Z29" s="4">
        <v>8.7815874504146301</v>
      </c>
      <c r="AA29" s="4">
        <v>0.11769736842105265</v>
      </c>
      <c r="AB29" s="4">
        <v>209</v>
      </c>
      <c r="AC29" s="4">
        <v>22</v>
      </c>
      <c r="AD29" s="4">
        <v>411</v>
      </c>
      <c r="AE29" s="4">
        <v>8.5</v>
      </c>
      <c r="AF29" s="4">
        <v>85</v>
      </c>
    </row>
    <row r="30" spans="1:32" x14ac:dyDescent="0.3">
      <c r="A30" s="4">
        <v>32.746126180341086</v>
      </c>
      <c r="B30" s="4" cm="1">
        <f t="array" ref="B30:G30">_xlfn.SEQUENCE(1,6,A30-1,(H30-A30)/6)</f>
        <v>31.746126180341086</v>
      </c>
      <c r="C30" s="4">
        <v>29.305381612127963</v>
      </c>
      <c r="D30" s="4">
        <v>26.86463704391484</v>
      </c>
      <c r="E30" s="4">
        <v>24.423892475701717</v>
      </c>
      <c r="F30" s="4">
        <v>21.983147907488593</v>
      </c>
      <c r="G30" s="4">
        <v>19.54240333927547</v>
      </c>
      <c r="H30" s="4">
        <v>18.101658771062347</v>
      </c>
      <c r="I30" s="4">
        <v>114.72687657403833</v>
      </c>
      <c r="J30" s="4" cm="1">
        <f t="array" ref="J30:O30">_xlfn.SEQUENCE(1,6,I30-1,(P30-I30)/6)</f>
        <v>113.72687657403833</v>
      </c>
      <c r="K30" s="4">
        <v>108.44509029233868</v>
      </c>
      <c r="L30" s="4">
        <v>103.16330401063902</v>
      </c>
      <c r="M30" s="4">
        <v>97.881517728939372</v>
      </c>
      <c r="N30" s="4">
        <v>92.599731447239719</v>
      </c>
      <c r="O30" s="4">
        <v>87.317945165540067</v>
      </c>
      <c r="P30" s="4">
        <v>83.036158883840372</v>
      </c>
      <c r="Q30" s="4">
        <v>79.247554292069751</v>
      </c>
      <c r="R30" s="4">
        <v>22.059875910616313</v>
      </c>
      <c r="S30" s="4" cm="1">
        <f t="array" ref="S30:X30">_xlfn.SEQUENCE(1,6,R30-1,(Y30-R30)/6)</f>
        <v>21.059875910616313</v>
      </c>
      <c r="T30" s="4">
        <v>19.168649723850933</v>
      </c>
      <c r="U30" s="4">
        <v>17.277423537085554</v>
      </c>
      <c r="V30" s="4">
        <v>15.386197350320172</v>
      </c>
      <c r="W30" s="4">
        <v>13.494971163554791</v>
      </c>
      <c r="X30" s="4">
        <v>11.603744976789409</v>
      </c>
      <c r="Y30" s="4">
        <v>10.712518790024028</v>
      </c>
      <c r="Z30" s="4">
        <v>9.0452708418213348</v>
      </c>
      <c r="AA30" s="4">
        <v>0.11564835164835165</v>
      </c>
      <c r="AB30" s="4">
        <v>223</v>
      </c>
      <c r="AC30" s="4">
        <v>23</v>
      </c>
      <c r="AD30" s="4">
        <v>445.5</v>
      </c>
      <c r="AE30" s="4">
        <v>8.7799999999999994</v>
      </c>
      <c r="AF30" s="4">
        <v>115</v>
      </c>
    </row>
    <row r="31" spans="1:32" x14ac:dyDescent="0.3">
      <c r="A31" s="4">
        <v>34.53396115946201</v>
      </c>
      <c r="B31" s="4" cm="1">
        <f t="array" ref="B31:G31">_xlfn.SEQUENCE(1,6,A31-1,(H31-A31)/6)</f>
        <v>33.53396115946201</v>
      </c>
      <c r="C31" s="4">
        <v>30.81882308989886</v>
      </c>
      <c r="D31" s="4">
        <v>28.10368502033571</v>
      </c>
      <c r="E31" s="4">
        <v>25.388546950772561</v>
      </c>
      <c r="F31" s="4">
        <v>22.673408881209411</v>
      </c>
      <c r="G31" s="4">
        <v>19.958270811646262</v>
      </c>
      <c r="H31" s="4">
        <v>18.24313274208312</v>
      </c>
      <c r="I31" s="4">
        <v>145.25055754554668</v>
      </c>
      <c r="J31" s="4" cm="1">
        <f t="array" ref="J31:O31">_xlfn.SEQUENCE(1,6,I31-1,(P31-I31)/6)</f>
        <v>144.25055754554668</v>
      </c>
      <c r="K31" s="4">
        <v>137.16195076863616</v>
      </c>
      <c r="L31" s="4">
        <v>130.07334399172564</v>
      </c>
      <c r="M31" s="4">
        <v>122.98473721481511</v>
      </c>
      <c r="N31" s="4">
        <v>115.89613043790459</v>
      </c>
      <c r="O31" s="4">
        <v>108.80752366099406</v>
      </c>
      <c r="P31" s="4">
        <v>102.7189168840835</v>
      </c>
      <c r="Q31" s="4">
        <v>97.184271899871575</v>
      </c>
      <c r="R31" s="4">
        <v>22.758769438908484</v>
      </c>
      <c r="S31" s="4" cm="1">
        <f t="array" ref="S31:X31">_xlfn.SEQUENCE(1,6,R31-1,(Y31-R31)/6)</f>
        <v>21.758769438908484</v>
      </c>
      <c r="T31" s="4">
        <v>19.72847287236678</v>
      </c>
      <c r="U31" s="4">
        <v>17.698176305825076</v>
      </c>
      <c r="V31" s="4">
        <v>15.66787973928337</v>
      </c>
      <c r="W31" s="4">
        <v>13.637583172741664</v>
      </c>
      <c r="X31" s="4">
        <v>11.607286606199958</v>
      </c>
      <c r="Y31" s="4">
        <v>10.576990039658252</v>
      </c>
      <c r="Z31" s="4">
        <v>8.8073022502629694</v>
      </c>
      <c r="AA31" s="4">
        <v>0.1117763157894737</v>
      </c>
      <c r="AB31" s="4">
        <v>238.5</v>
      </c>
      <c r="AC31" s="4">
        <v>23.5</v>
      </c>
      <c r="AD31" s="4">
        <v>469.5</v>
      </c>
      <c r="AE31" s="4">
        <v>8.52</v>
      </c>
      <c r="AF31" s="4">
        <v>145</v>
      </c>
    </row>
    <row r="32" spans="1:32" x14ac:dyDescent="0.3">
      <c r="A32" s="4">
        <v>35.796664875640417</v>
      </c>
      <c r="B32" s="4" cm="1">
        <f t="array" ref="B32:G32">_xlfn.SEQUENCE(1,6,A32-1,(H32-A32)/6)</f>
        <v>34.796664875640417</v>
      </c>
      <c r="C32" s="4">
        <v>31.920655059246847</v>
      </c>
      <c r="D32" s="4">
        <v>29.044645242853278</v>
      </c>
      <c r="E32" s="4">
        <v>26.168635426459709</v>
      </c>
      <c r="F32" s="4">
        <v>23.292625610066139</v>
      </c>
      <c r="G32" s="4">
        <v>20.41661579367257</v>
      </c>
      <c r="H32" s="4">
        <v>18.540605977279</v>
      </c>
      <c r="I32" s="4">
        <v>171.18229532179717</v>
      </c>
      <c r="J32" s="4" cm="1">
        <f t="array" ref="J32:O32">_xlfn.SEQUENCE(1,6,I32-1,(P32-I32)/6)</f>
        <v>170.18229532179717</v>
      </c>
      <c r="K32" s="4">
        <v>161.86171164048642</v>
      </c>
      <c r="L32" s="4">
        <v>153.5411279591757</v>
      </c>
      <c r="M32" s="4">
        <v>145.22054427786497</v>
      </c>
      <c r="N32" s="4">
        <v>136.89996059655425</v>
      </c>
      <c r="O32" s="4">
        <v>128.57937691524353</v>
      </c>
      <c r="P32" s="4">
        <v>121.25879323393275</v>
      </c>
      <c r="Q32" s="4">
        <v>112.34334614315196</v>
      </c>
      <c r="R32" s="4">
        <v>23.693737040330554</v>
      </c>
      <c r="S32" s="4" cm="1">
        <f t="array" ref="S32:X32">_xlfn.SEQUENCE(1,6,R32-1,(Y32-R32)/6)</f>
        <v>22.693737040330554</v>
      </c>
      <c r="T32" s="4">
        <v>20.566994899537391</v>
      </c>
      <c r="U32" s="4">
        <v>18.440252758744229</v>
      </c>
      <c r="V32" s="4">
        <v>16.313510617951067</v>
      </c>
      <c r="W32" s="4">
        <v>14.186768477157903</v>
      </c>
      <c r="X32" s="4">
        <v>12.060026336364739</v>
      </c>
      <c r="Y32" s="4">
        <v>10.933284195571572</v>
      </c>
      <c r="Z32" s="4">
        <v>9.0255902668223804</v>
      </c>
      <c r="AA32" s="4">
        <v>0.111646408839779</v>
      </c>
      <c r="AB32" s="4">
        <v>247</v>
      </c>
      <c r="AC32" s="4">
        <v>25</v>
      </c>
      <c r="AD32" s="4">
        <v>499.5</v>
      </c>
      <c r="AE32" s="4">
        <v>8.74</v>
      </c>
      <c r="AF32" s="4">
        <v>175</v>
      </c>
    </row>
    <row r="33" spans="1:32" x14ac:dyDescent="0.3">
      <c r="A33" s="4">
        <v>40.862208796470405</v>
      </c>
      <c r="B33" s="4" cm="1">
        <f t="array" ref="B33:G33">_xlfn.SEQUENCE(1,6,A33-1,(H33-A33)/6)</f>
        <v>39.862208796470405</v>
      </c>
      <c r="C33" s="4">
        <v>36.139150101576419</v>
      </c>
      <c r="D33" s="4">
        <v>32.416091406682433</v>
      </c>
      <c r="E33" s="4">
        <v>28.693032711788447</v>
      </c>
      <c r="F33" s="4">
        <v>24.969974016894461</v>
      </c>
      <c r="G33" s="4">
        <v>21.246915322000476</v>
      </c>
      <c r="H33" s="4">
        <v>18.523856627106497</v>
      </c>
      <c r="I33" s="4">
        <v>202.90732160009756</v>
      </c>
      <c r="J33" s="4" cm="1">
        <f t="array" ref="J33:O33">_xlfn.SEQUENCE(1,6,I33-1,(P33-I33)/6)</f>
        <v>201.90732160009756</v>
      </c>
      <c r="K33" s="4">
        <v>194.34446824951902</v>
      </c>
      <c r="L33" s="4">
        <v>186.78161489894049</v>
      </c>
      <c r="M33" s="4">
        <v>179.21876154836195</v>
      </c>
      <c r="N33" s="4">
        <v>171.65590819778342</v>
      </c>
      <c r="O33" s="4">
        <v>164.09305484720488</v>
      </c>
      <c r="P33" s="4">
        <v>157.53020149662632</v>
      </c>
      <c r="Q33" s="4">
        <v>152.36779630026584</v>
      </c>
      <c r="R33" s="4">
        <v>26.269969028221986</v>
      </c>
      <c r="S33" s="4" cm="1">
        <f t="array" ref="S33:X33">_xlfn.SEQUENCE(1,6,R33-1,(Y33-R33)/6)</f>
        <v>25.269969028221986</v>
      </c>
      <c r="T33" s="4">
        <v>22.763208780504115</v>
      </c>
      <c r="U33" s="4">
        <v>20.256448532786244</v>
      </c>
      <c r="V33" s="4">
        <v>17.749688285068373</v>
      </c>
      <c r="W33" s="4">
        <v>15.242928037350504</v>
      </c>
      <c r="X33" s="4">
        <v>12.736167789632635</v>
      </c>
      <c r="Y33" s="4">
        <v>11.229407541914767</v>
      </c>
      <c r="Z33" s="4">
        <v>8.8834731230480095</v>
      </c>
      <c r="AA33" s="4">
        <v>0.10066666666666667</v>
      </c>
      <c r="AB33" s="4">
        <v>260</v>
      </c>
      <c r="AC33" s="4">
        <v>26</v>
      </c>
      <c r="AD33" s="4">
        <v>522</v>
      </c>
      <c r="AE33" s="4">
        <v>8.49</v>
      </c>
      <c r="AF33" s="4">
        <v>205</v>
      </c>
    </row>
    <row r="34" spans="1:32" x14ac:dyDescent="0.3">
      <c r="A34" s="4">
        <v>40.862208796470405</v>
      </c>
      <c r="B34" s="4" cm="1">
        <f t="array" ref="B34:G34">_xlfn.SEQUENCE(1,6,A34-1,(H34-A34)/6)</f>
        <v>39.862208796470405</v>
      </c>
      <c r="C34" s="4">
        <v>36.139150101576419</v>
      </c>
      <c r="D34" s="4">
        <v>32.416091406682433</v>
      </c>
      <c r="E34" s="4">
        <v>28.693032711788447</v>
      </c>
      <c r="F34" s="4">
        <v>24.969974016894461</v>
      </c>
      <c r="G34" s="4">
        <v>21.246915322000476</v>
      </c>
      <c r="H34" s="4">
        <v>18.523856627106497</v>
      </c>
      <c r="I34" s="4">
        <v>202.90732160009756</v>
      </c>
      <c r="J34" s="4" cm="1">
        <f t="array" ref="J34:O34">_xlfn.SEQUENCE(1,6,I34-1,(P34-I34)/6)</f>
        <v>201.90732160009756</v>
      </c>
      <c r="K34" s="4">
        <v>194.34446824951902</v>
      </c>
      <c r="L34" s="4">
        <v>186.78161489894049</v>
      </c>
      <c r="M34" s="4">
        <v>179.21876154836195</v>
      </c>
      <c r="N34" s="4">
        <v>171.65590819778342</v>
      </c>
      <c r="O34" s="4">
        <v>164.09305484720488</v>
      </c>
      <c r="P34" s="4">
        <v>157.53020149662632</v>
      </c>
      <c r="Q34" s="4">
        <v>152.36779630026584</v>
      </c>
      <c r="R34" s="4">
        <v>26.269969028221986</v>
      </c>
      <c r="S34" s="4" cm="1">
        <f t="array" ref="S34:X34">_xlfn.SEQUENCE(1,6,R34-1,(Y34-R34)/6)</f>
        <v>25.269969028221986</v>
      </c>
      <c r="T34" s="4">
        <v>22.763208780504115</v>
      </c>
      <c r="U34" s="4">
        <v>20.256448532786244</v>
      </c>
      <c r="V34" s="4">
        <v>17.749688285068373</v>
      </c>
      <c r="W34" s="4">
        <v>15.242928037350504</v>
      </c>
      <c r="X34" s="4">
        <v>12.736167789632635</v>
      </c>
      <c r="Y34" s="4">
        <v>11.229407541914767</v>
      </c>
      <c r="Z34" s="4">
        <v>8.8834731230480095</v>
      </c>
      <c r="AA34" s="4">
        <v>0.29289999999999999</v>
      </c>
      <c r="AB34" s="4">
        <v>502</v>
      </c>
      <c r="AC34" s="4">
        <v>100</v>
      </c>
      <c r="AD34" s="4">
        <v>1005</v>
      </c>
      <c r="AE34" s="4">
        <v>8.58</v>
      </c>
      <c r="AF34" s="4">
        <v>205</v>
      </c>
    </row>
    <row r="35" spans="1:32" x14ac:dyDescent="0.3">
      <c r="A35" s="4">
        <v>24.802493986853747</v>
      </c>
      <c r="B35" s="4" cm="1">
        <f t="array" ref="B35:G35">_xlfn.SEQUENCE(1,6,A35-1,(H35-A35)/6)</f>
        <v>23.802493986853747</v>
      </c>
      <c r="C35" s="4">
        <v>21.827139683250845</v>
      </c>
      <c r="D35" s="4">
        <v>19.851785379647943</v>
      </c>
      <c r="E35" s="4">
        <v>17.876431076045041</v>
      </c>
      <c r="F35" s="4">
        <v>15.90107677244214</v>
      </c>
      <c r="G35" s="4">
        <v>13.92572246883924</v>
      </c>
      <c r="H35" s="4">
        <v>12.950368165236341</v>
      </c>
      <c r="I35" s="4">
        <v>84.182108766353863</v>
      </c>
      <c r="J35" s="4" cm="1">
        <f t="array" ref="J35:O35">_xlfn.SEQUENCE(1,6,I35-1,(P35-I35)/6)</f>
        <v>83.182108766353863</v>
      </c>
      <c r="K35" s="4">
        <v>80.142203262378416</v>
      </c>
      <c r="L35" s="4">
        <v>77.102297758402969</v>
      </c>
      <c r="M35" s="4">
        <v>74.062392254427522</v>
      </c>
      <c r="N35" s="4">
        <v>71.022486750452074</v>
      </c>
      <c r="O35" s="4">
        <v>67.982581246476627</v>
      </c>
      <c r="P35" s="4">
        <v>65.942675742501208</v>
      </c>
      <c r="Q35" s="4">
        <v>63.701275961376105</v>
      </c>
      <c r="R35" s="4">
        <v>16.444672837052945</v>
      </c>
      <c r="S35" s="4" cm="1">
        <f t="array" ref="S35:X35">_xlfn.SEQUENCE(1,6,R35-1,(Y35-R35)/6)</f>
        <v>15.444672837052945</v>
      </c>
      <c r="T35" s="4">
        <v>14.30465656257299</v>
      </c>
      <c r="U35" s="4">
        <v>13.164640288093036</v>
      </c>
      <c r="V35" s="4">
        <v>12.024624013613082</v>
      </c>
      <c r="W35" s="4">
        <v>10.884607739133127</v>
      </c>
      <c r="X35" s="4">
        <v>9.7445914646531726</v>
      </c>
      <c r="Y35" s="4">
        <v>9.6045751901732217</v>
      </c>
      <c r="Z35" s="4">
        <v>8.6209446141368975</v>
      </c>
      <c r="AA35" s="4">
        <v>0.1277142857142857</v>
      </c>
      <c r="AB35" s="4">
        <v>417</v>
      </c>
      <c r="AC35" s="4">
        <v>42</v>
      </c>
      <c r="AD35" s="4">
        <v>831</v>
      </c>
      <c r="AE35" s="4">
        <v>8.48</v>
      </c>
      <c r="AF35" s="4">
        <v>85</v>
      </c>
    </row>
    <row r="36" spans="1:32" x14ac:dyDescent="0.3">
      <c r="A36" s="4">
        <v>26.403997236908975</v>
      </c>
      <c r="B36" s="4" cm="1">
        <f t="array" ref="B36:G36">_xlfn.SEQUENCE(1,6,A36-1,(H36-A36)/6)</f>
        <v>25.403997236908975</v>
      </c>
      <c r="C36" s="4">
        <v>23.196200701716815</v>
      </c>
      <c r="D36" s="4">
        <v>20.988404166524656</v>
      </c>
      <c r="E36" s="4">
        <v>18.780607631332497</v>
      </c>
      <c r="F36" s="4">
        <v>16.572811096140338</v>
      </c>
      <c r="G36" s="4">
        <v>14.365014560948179</v>
      </c>
      <c r="H36" s="4">
        <v>13.157218025756016</v>
      </c>
      <c r="I36" s="4">
        <v>114.0172865383591</v>
      </c>
      <c r="J36" s="4" cm="1">
        <f t="array" ref="J36:O36">_xlfn.SEQUENCE(1,6,I36-1,(P36-I36)/6)</f>
        <v>113.0172865383591</v>
      </c>
      <c r="K36" s="4">
        <v>108.6034054947613</v>
      </c>
      <c r="L36" s="4">
        <v>104.18952445116351</v>
      </c>
      <c r="M36" s="4">
        <v>99.77564340756571</v>
      </c>
      <c r="N36" s="4">
        <v>95.361762363967912</v>
      </c>
      <c r="O36" s="4">
        <v>90.947881320370115</v>
      </c>
      <c r="P36" s="4">
        <v>87.534000276772304</v>
      </c>
      <c r="Q36" s="4">
        <v>84.368657936362993</v>
      </c>
      <c r="R36" s="4">
        <v>17.026194617360911</v>
      </c>
      <c r="S36" s="4" cm="1">
        <f t="array" ref="S36:X36">_xlfn.SEQUENCE(1,6,R36-1,(Y36-R36)/6)</f>
        <v>16.026194617360911</v>
      </c>
      <c r="T36" s="4">
        <v>14.738253584199605</v>
      </c>
      <c r="U36" s="4">
        <v>13.450312551038298</v>
      </c>
      <c r="V36" s="4">
        <v>12.162371517876991</v>
      </c>
      <c r="W36" s="4">
        <v>10.874430484715685</v>
      </c>
      <c r="X36" s="4">
        <v>9.5864894515543781</v>
      </c>
      <c r="Y36" s="4">
        <v>9.2985484183930716</v>
      </c>
      <c r="Z36" s="4">
        <v>8.2401686246468699</v>
      </c>
      <c r="AA36" s="4">
        <v>0.13153846153846158</v>
      </c>
      <c r="AB36" s="4">
        <v>439</v>
      </c>
      <c r="AC36" s="4">
        <v>44</v>
      </c>
      <c r="AD36" s="4">
        <v>882</v>
      </c>
      <c r="AE36" s="4">
        <v>8.08</v>
      </c>
      <c r="AF36" s="4">
        <v>115</v>
      </c>
    </row>
    <row r="37" spans="1:32" x14ac:dyDescent="0.3">
      <c r="A37" s="4">
        <v>28.230187221073905</v>
      </c>
      <c r="B37" s="4" cm="1">
        <f t="array" ref="B37:G37">_xlfn.SEQUENCE(1,6,A37-1,(H37-A37)/6)</f>
        <v>27.230187221073905</v>
      </c>
      <c r="C37" s="4">
        <v>24.8033381296061</v>
      </c>
      <c r="D37" s="4">
        <v>22.376489038138295</v>
      </c>
      <c r="E37" s="4">
        <v>19.949639946670491</v>
      </c>
      <c r="F37" s="4">
        <v>17.522790855202686</v>
      </c>
      <c r="G37" s="4">
        <v>15.095941763734881</v>
      </c>
      <c r="H37" s="4">
        <v>13.669092672267073</v>
      </c>
      <c r="I37" s="4">
        <v>143.90616764639671</v>
      </c>
      <c r="J37" s="4" cm="1">
        <f t="array" ref="J37:O37">_xlfn.SEQUENCE(1,6,I37-1,(P37-I37)/6)</f>
        <v>142.90616764639671</v>
      </c>
      <c r="K37" s="4">
        <v>137.16735464873787</v>
      </c>
      <c r="L37" s="4">
        <v>131.42854165107903</v>
      </c>
      <c r="M37" s="4">
        <v>125.6897286534202</v>
      </c>
      <c r="N37" s="4">
        <v>119.95091565576138</v>
      </c>
      <c r="O37" s="4">
        <v>114.21210265810255</v>
      </c>
      <c r="P37" s="4">
        <v>109.47328966044374</v>
      </c>
      <c r="Q37" s="4">
        <v>104.48728873458434</v>
      </c>
      <c r="R37" s="4">
        <v>18.046232173691251</v>
      </c>
      <c r="S37" s="4" cm="1">
        <f t="array" ref="S37:X37">_xlfn.SEQUENCE(1,6,R37-1,(Y37-R37)/6)</f>
        <v>17.046232173691251</v>
      </c>
      <c r="T37" s="4">
        <v>15.618704329345853</v>
      </c>
      <c r="U37" s="4">
        <v>14.191176485000454</v>
      </c>
      <c r="V37" s="4">
        <v>12.763648640655056</v>
      </c>
      <c r="W37" s="4">
        <v>11.336120796309658</v>
      </c>
      <c r="X37" s="4">
        <v>9.908592951964259</v>
      </c>
      <c r="Y37" s="4">
        <v>9.4810651076188659</v>
      </c>
      <c r="Z37" s="4">
        <v>8.3107328841002648</v>
      </c>
      <c r="AA37" s="4">
        <v>0.12778021978021981</v>
      </c>
      <c r="AB37" s="4">
        <v>477</v>
      </c>
      <c r="AC37" s="4">
        <v>47</v>
      </c>
      <c r="AD37" s="4">
        <v>940.5</v>
      </c>
      <c r="AE37" s="4">
        <v>8.17</v>
      </c>
      <c r="AF37" s="4">
        <v>145</v>
      </c>
    </row>
    <row r="38" spans="1:32" x14ac:dyDescent="0.3">
      <c r="A38" s="4">
        <v>44.562302913929251</v>
      </c>
      <c r="B38" s="4" cm="1">
        <f t="array" ref="B38:G38">_xlfn.SEQUENCE(1,6,A38-1,(H38-A38)/6)</f>
        <v>43.562302913929251</v>
      </c>
      <c r="C38" s="4">
        <v>40.971843695289358</v>
      </c>
      <c r="D38" s="4">
        <v>38.381384476649465</v>
      </c>
      <c r="E38" s="4">
        <v>35.790925258009572</v>
      </c>
      <c r="F38" s="4">
        <v>33.20046603936968</v>
      </c>
      <c r="G38" s="4">
        <v>30.610006820729787</v>
      </c>
      <c r="H38" s="4">
        <v>29.019547602089883</v>
      </c>
      <c r="I38" s="4">
        <v>145.54278565883115</v>
      </c>
      <c r="J38" s="4" cm="1">
        <f t="array" ref="J38:O38">_xlfn.SEQUENCE(1,6,I38-1,(P38-I38)/6)</f>
        <v>144.54278565883115</v>
      </c>
      <c r="K38" s="4">
        <v>137.59020305439734</v>
      </c>
      <c r="L38" s="4">
        <v>130.63762044996352</v>
      </c>
      <c r="M38" s="4">
        <v>123.68503784552971</v>
      </c>
      <c r="N38" s="4">
        <v>116.73245524109589</v>
      </c>
      <c r="O38" s="4">
        <v>109.77987263666208</v>
      </c>
      <c r="P38" s="4">
        <v>103.8272900322283</v>
      </c>
      <c r="Q38" s="4">
        <v>99.550679828896065</v>
      </c>
      <c r="R38" s="4">
        <v>29.35448633630082</v>
      </c>
      <c r="S38" s="4" cm="1">
        <f t="array" ref="S38:X38">_xlfn.SEQUENCE(1,6,R38-1,(Y38-R38)/6)</f>
        <v>28.35448633630082</v>
      </c>
      <c r="T38" s="4">
        <v>25.67067395703295</v>
      </c>
      <c r="U38" s="4">
        <v>22.98686157776508</v>
      </c>
      <c r="V38" s="4">
        <v>20.303049198497209</v>
      </c>
      <c r="W38" s="4">
        <v>17.619236819229339</v>
      </c>
      <c r="X38" s="4">
        <v>14.935424439961469</v>
      </c>
      <c r="Y38" s="4">
        <v>13.251612060693603</v>
      </c>
      <c r="Z38" s="4">
        <v>9.7560803575568436</v>
      </c>
      <c r="AA38" s="4">
        <v>0.12843956043956045</v>
      </c>
      <c r="AB38" s="4">
        <v>500</v>
      </c>
      <c r="AC38" s="4">
        <v>50</v>
      </c>
      <c r="AD38" s="4">
        <v>999</v>
      </c>
      <c r="AE38" s="4">
        <v>8.32</v>
      </c>
      <c r="AF38" s="4">
        <v>175</v>
      </c>
    </row>
    <row r="39" spans="1:32" x14ac:dyDescent="0.3">
      <c r="A39" s="4">
        <v>31.329698635690303</v>
      </c>
      <c r="B39" s="4" cm="1">
        <f t="array" ref="B39:G39">_xlfn.SEQUENCE(1,6,A39-1,(H39-A39)/6)</f>
        <v>30.329698635690303</v>
      </c>
      <c r="C39" s="4">
        <v>27.55040348547384</v>
      </c>
      <c r="D39" s="4">
        <v>24.771108335257377</v>
      </c>
      <c r="E39" s="4">
        <v>21.991813185040915</v>
      </c>
      <c r="F39" s="4">
        <v>19.212518034824452</v>
      </c>
      <c r="G39" s="4">
        <v>16.433222884607989</v>
      </c>
      <c r="H39" s="4">
        <v>14.653927734391527</v>
      </c>
      <c r="I39" s="4">
        <v>204.57604028284436</v>
      </c>
      <c r="J39" s="4" cm="1">
        <f t="array" ref="J39:O39">_xlfn.SEQUENCE(1,6,I39-1,(P39-I39)/6)</f>
        <v>203.57604028284436</v>
      </c>
      <c r="K39" s="4">
        <v>195.05249665850502</v>
      </c>
      <c r="L39" s="4">
        <v>186.52895303416568</v>
      </c>
      <c r="M39" s="4">
        <v>178.00540940982634</v>
      </c>
      <c r="N39" s="4">
        <v>169.481865785487</v>
      </c>
      <c r="O39" s="4">
        <v>160.95832216114766</v>
      </c>
      <c r="P39" s="4">
        <v>153.43477853680827</v>
      </c>
      <c r="Q39" s="4">
        <v>147.47371730777635</v>
      </c>
      <c r="R39" s="4">
        <v>19.403016986021484</v>
      </c>
      <c r="S39" s="4" cm="1">
        <f t="array" ref="S39:X39">_xlfn.SEQUENCE(1,6,R39-1,(Y39-R39)/6)</f>
        <v>18.403016986021484</v>
      </c>
      <c r="T39" s="4">
        <v>16.805263442039063</v>
      </c>
      <c r="U39" s="4">
        <v>15.207509898056642</v>
      </c>
      <c r="V39" s="4">
        <v>13.609756354074221</v>
      </c>
      <c r="W39" s="4">
        <v>12.012002810091801</v>
      </c>
      <c r="X39" s="4">
        <v>10.41424926610938</v>
      </c>
      <c r="Y39" s="4">
        <v>9.8164957221269553</v>
      </c>
      <c r="Z39" s="4">
        <v>8.4008048809604343</v>
      </c>
      <c r="AA39" s="4">
        <v>0.1103076923076923</v>
      </c>
      <c r="AB39" s="4">
        <v>525</v>
      </c>
      <c r="AC39" s="4">
        <v>53</v>
      </c>
      <c r="AD39" s="4">
        <v>1051.5</v>
      </c>
      <c r="AE39" s="4">
        <v>8.2100000000000009</v>
      </c>
      <c r="AF39" s="4">
        <v>205</v>
      </c>
    </row>
    <row r="40" spans="1:32" x14ac:dyDescent="0.3">
      <c r="A40" s="4">
        <v>35.190037675261117</v>
      </c>
      <c r="B40" s="4" cm="1">
        <f t="array" ref="B40:G40">_xlfn.SEQUENCE(1,6,A40-1,(H40-A40)/6)</f>
        <v>34.190037675261117</v>
      </c>
      <c r="C40" s="4">
        <v>31.603350655804405</v>
      </c>
      <c r="D40" s="4">
        <v>29.016663636347694</v>
      </c>
      <c r="E40" s="4">
        <v>26.429976616890983</v>
      </c>
      <c r="F40" s="4">
        <v>23.843289597434271</v>
      </c>
      <c r="G40" s="4">
        <v>21.25660257797756</v>
      </c>
      <c r="H40" s="4">
        <v>19.669915558520845</v>
      </c>
      <c r="I40" s="4">
        <v>84.740254586227152</v>
      </c>
      <c r="J40" s="4" cm="1">
        <f t="array" ref="J40:O40">_xlfn.SEQUENCE(1,6,I40-1,(P40-I40)/6)</f>
        <v>83.740254586227152</v>
      </c>
      <c r="K40" s="4">
        <v>79.639820584055769</v>
      </c>
      <c r="L40" s="4">
        <v>75.539386581884386</v>
      </c>
      <c r="M40" s="4">
        <v>71.438952579713003</v>
      </c>
      <c r="N40" s="4">
        <v>67.33851857754162</v>
      </c>
      <c r="O40" s="4">
        <v>63.238084575370237</v>
      </c>
      <c r="P40" s="4">
        <v>60.137650573198876</v>
      </c>
      <c r="Q40" s="4">
        <v>57.199089872702672</v>
      </c>
      <c r="R40" s="4">
        <v>24.203407573690509</v>
      </c>
      <c r="S40" s="4" cm="1">
        <f t="array" ref="S40:X40">_xlfn.SEQUENCE(1,6,R40-1,(Y40-R40)/6)</f>
        <v>23.203407573690509</v>
      </c>
      <c r="T40" s="4">
        <v>20.968581406489879</v>
      </c>
      <c r="U40" s="4">
        <v>18.733755239289248</v>
      </c>
      <c r="V40" s="4">
        <v>16.498929072088618</v>
      </c>
      <c r="W40" s="4">
        <v>14.264102904887988</v>
      </c>
      <c r="X40" s="4">
        <v>12.029276737687358</v>
      </c>
      <c r="Y40" s="4">
        <v>10.794450570486733</v>
      </c>
      <c r="Z40" s="4">
        <v>8.8343425960700017</v>
      </c>
      <c r="AA40" s="4">
        <v>9.510743801652892E-2</v>
      </c>
      <c r="AB40" s="4">
        <v>132</v>
      </c>
      <c r="AC40" s="4">
        <v>14</v>
      </c>
      <c r="AD40" s="4">
        <v>265</v>
      </c>
      <c r="AE40" s="4">
        <v>8.4</v>
      </c>
      <c r="AF40" s="4">
        <v>85</v>
      </c>
    </row>
    <row r="41" spans="1:32" x14ac:dyDescent="0.3">
      <c r="A41" s="4">
        <v>36.699890016327238</v>
      </c>
      <c r="B41" s="4" cm="1">
        <f t="array" ref="B41:G41">_xlfn.SEQUENCE(1,6,A41-1,(H41-A41)/6)</f>
        <v>35.699890016327238</v>
      </c>
      <c r="C41" s="4">
        <v>32.926619518231433</v>
      </c>
      <c r="D41" s="4">
        <v>30.153349020135629</v>
      </c>
      <c r="E41" s="4">
        <v>27.380078522039824</v>
      </c>
      <c r="F41" s="4">
        <v>24.606808023944019</v>
      </c>
      <c r="G41" s="4">
        <v>21.833537525848215</v>
      </c>
      <c r="H41" s="4">
        <v>20.060267027752417</v>
      </c>
      <c r="I41" s="4">
        <v>115.90640125784218</v>
      </c>
      <c r="J41" s="4" cm="1">
        <f t="array" ref="J41:O41">_xlfn.SEQUENCE(1,6,I41-1,(P41-I41)/6)</f>
        <v>114.90640125784218</v>
      </c>
      <c r="K41" s="4">
        <v>108.49236425961004</v>
      </c>
      <c r="L41" s="4">
        <v>102.07832726137791</v>
      </c>
      <c r="M41" s="4">
        <v>95.664290263145773</v>
      </c>
      <c r="N41" s="4">
        <v>89.250253264913638</v>
      </c>
      <c r="O41" s="4">
        <v>82.836216266681504</v>
      </c>
      <c r="P41" s="4">
        <v>77.422179268449369</v>
      </c>
      <c r="Q41" s="4">
        <v>73.041487071958443</v>
      </c>
      <c r="R41" s="4">
        <v>25.276333423925582</v>
      </c>
      <c r="S41" s="4" cm="1">
        <f t="array" ref="S41:X41">_xlfn.SEQUENCE(1,6,R41-1,(Y41-R41)/6)</f>
        <v>24.276333423925582</v>
      </c>
      <c r="T41" s="4">
        <v>21.856918213358256</v>
      </c>
      <c r="U41" s="4">
        <v>19.437503002790933</v>
      </c>
      <c r="V41" s="4">
        <v>17.018087792223611</v>
      </c>
      <c r="W41" s="4">
        <v>14.598672581656286</v>
      </c>
      <c r="X41" s="4">
        <v>12.179257371088962</v>
      </c>
      <c r="Y41" s="4">
        <v>10.759842160521636</v>
      </c>
      <c r="Z41" s="4">
        <v>8.673054318357714</v>
      </c>
      <c r="AA41" s="4">
        <v>9.1090909090909097E-2</v>
      </c>
      <c r="AB41" s="4">
        <v>134</v>
      </c>
      <c r="AC41" s="4">
        <v>14</v>
      </c>
      <c r="AD41" s="4">
        <v>270</v>
      </c>
      <c r="AE41" s="4">
        <v>8.27</v>
      </c>
      <c r="AF41" s="4">
        <v>115</v>
      </c>
    </row>
    <row r="42" spans="1:32" x14ac:dyDescent="0.3">
      <c r="A42" s="4">
        <v>37.553507769970146</v>
      </c>
      <c r="B42" s="4" cm="1">
        <f t="array" ref="B42:G42">_xlfn.SEQUENCE(1,6,A42-1,(H42-A42)/6)</f>
        <v>36.553507769970146</v>
      </c>
      <c r="C42" s="4">
        <v>33.777468472513398</v>
      </c>
      <c r="D42" s="4">
        <v>31.001429175056654</v>
      </c>
      <c r="E42" s="4">
        <v>28.225389877599909</v>
      </c>
      <c r="F42" s="4">
        <v>25.449350580143165</v>
      </c>
      <c r="G42" s="4">
        <v>22.67331128268642</v>
      </c>
      <c r="H42" s="4">
        <v>20.897271985229672</v>
      </c>
      <c r="I42" s="4">
        <v>143.97706957204619</v>
      </c>
      <c r="J42" s="4" cm="1">
        <f t="array" ref="J42:O42">_xlfn.SEQUENCE(1,6,I42-1,(P42-I42)/6)</f>
        <v>142.97706957204619</v>
      </c>
      <c r="K42" s="4">
        <v>134.69693725169495</v>
      </c>
      <c r="L42" s="4">
        <v>126.41680493134371</v>
      </c>
      <c r="M42" s="4">
        <v>118.13667261099246</v>
      </c>
      <c r="N42" s="4">
        <v>109.85654029064122</v>
      </c>
      <c r="O42" s="4">
        <v>101.57640797028998</v>
      </c>
      <c r="P42" s="4">
        <v>94.29627564993875</v>
      </c>
      <c r="Q42" s="4">
        <v>89.053637984663666</v>
      </c>
      <c r="R42" s="4">
        <v>25.599467473144244</v>
      </c>
      <c r="S42" s="4" cm="1">
        <f t="array" ref="S42:X42">_xlfn.SEQUENCE(1,6,R42-1,(Y42-R42)/6)</f>
        <v>24.599467473144244</v>
      </c>
      <c r="T42" s="4">
        <v>22.141499080663966</v>
      </c>
      <c r="U42" s="4">
        <v>19.683530688183687</v>
      </c>
      <c r="V42" s="4">
        <v>17.225562295703408</v>
      </c>
      <c r="W42" s="4">
        <v>14.76759390322313</v>
      </c>
      <c r="X42" s="4">
        <v>12.309625510742851</v>
      </c>
      <c r="Y42" s="4">
        <v>10.851657118262569</v>
      </c>
      <c r="Z42" s="4">
        <v>8.5178535038056431</v>
      </c>
      <c r="AA42" s="4">
        <v>8.4697095435684641E-2</v>
      </c>
      <c r="AB42" s="4">
        <v>142</v>
      </c>
      <c r="AC42" s="4">
        <v>14.5</v>
      </c>
      <c r="AD42" s="4">
        <v>285</v>
      </c>
      <c r="AE42" s="4">
        <v>8.09</v>
      </c>
      <c r="AF42" s="4">
        <v>145</v>
      </c>
    </row>
    <row r="43" spans="1:32" x14ac:dyDescent="0.3">
      <c r="A43" s="4">
        <v>40.997903014388832</v>
      </c>
      <c r="B43" s="4" cm="1">
        <f t="array" ref="B43:G43">_xlfn.SEQUENCE(1,6,A43-1,(H43-A43)/6)</f>
        <v>39.997903014388832</v>
      </c>
      <c r="C43" s="4">
        <v>36.801766269822835</v>
      </c>
      <c r="D43" s="4">
        <v>33.605629525256838</v>
      </c>
      <c r="E43" s="4">
        <v>30.40949278069084</v>
      </c>
      <c r="F43" s="4">
        <v>27.213356036124843</v>
      </c>
      <c r="G43" s="4">
        <v>24.017219291558845</v>
      </c>
      <c r="H43" s="4">
        <v>21.821082546992841</v>
      </c>
      <c r="I43" s="4">
        <v>205.81634662037132</v>
      </c>
      <c r="J43" s="4" cm="1">
        <f t="array" ref="J43:O43">_xlfn.SEQUENCE(1,6,I43-1,(P43-I43)/6)</f>
        <v>204.81634662037132</v>
      </c>
      <c r="K43" s="4">
        <v>191.91150535868775</v>
      </c>
      <c r="L43" s="4">
        <v>179.00666409700418</v>
      </c>
      <c r="M43" s="4">
        <v>166.1018228353206</v>
      </c>
      <c r="N43" s="4">
        <v>153.19698157363703</v>
      </c>
      <c r="O43" s="4">
        <v>140.29214031195346</v>
      </c>
      <c r="P43" s="4">
        <v>128.38729905026989</v>
      </c>
      <c r="Q43" s="4">
        <v>122.08037788109277</v>
      </c>
      <c r="R43" s="4">
        <v>27.51229416281268</v>
      </c>
      <c r="S43" s="4" cm="1">
        <f t="array" ref="S43:X43">_xlfn.SEQUENCE(1,6,R43-1,(Y43-R43)/6)</f>
        <v>26.51229416281268</v>
      </c>
      <c r="T43" s="4">
        <v>23.782423881387921</v>
      </c>
      <c r="U43" s="4">
        <v>21.052553599963161</v>
      </c>
      <c r="V43" s="4">
        <v>18.322683318538402</v>
      </c>
      <c r="W43" s="4">
        <v>15.592813037113643</v>
      </c>
      <c r="X43" s="4">
        <v>12.862942755688884</v>
      </c>
      <c r="Y43" s="4">
        <v>11.133072474264129</v>
      </c>
      <c r="Z43" s="4">
        <v>8.4409947002201662</v>
      </c>
      <c r="AA43" s="4">
        <v>6.741908713692947E-2</v>
      </c>
      <c r="AB43" s="4">
        <v>156</v>
      </c>
      <c r="AC43" s="4">
        <v>16</v>
      </c>
      <c r="AD43" s="4">
        <v>303</v>
      </c>
      <c r="AE43" s="4">
        <v>8.02</v>
      </c>
      <c r="AF43" s="4">
        <v>205</v>
      </c>
    </row>
    <row r="44" spans="1:32" x14ac:dyDescent="0.3">
      <c r="A44" s="4">
        <v>48.243462851237332</v>
      </c>
      <c r="B44" s="4" cm="1">
        <f t="array" ref="B44:G44">_xlfn.SEQUENCE(1,6,A44-1,(H44-A44)/6)</f>
        <v>47.243462851237332</v>
      </c>
      <c r="C44" s="4">
        <v>44.11087163507942</v>
      </c>
      <c r="D44" s="4">
        <v>40.9782804189215</v>
      </c>
      <c r="E44" s="4">
        <v>37.84568920276358</v>
      </c>
      <c r="F44" s="4">
        <v>34.713097986605661</v>
      </c>
      <c r="G44" s="4">
        <v>31.580506770447744</v>
      </c>
      <c r="H44" s="4">
        <v>29.447915554289835</v>
      </c>
      <c r="I44" s="4">
        <v>204.79370086152926</v>
      </c>
      <c r="J44" s="4" cm="1">
        <f t="array" ref="J44:O44">_xlfn.SEQUENCE(1,6,I44-1,(P44-I44)/6)</f>
        <v>203.79370086152926</v>
      </c>
      <c r="K44" s="4">
        <v>193.87465432554549</v>
      </c>
      <c r="L44" s="4">
        <v>183.95560778956172</v>
      </c>
      <c r="M44" s="4">
        <v>174.03656125357796</v>
      </c>
      <c r="N44" s="4">
        <v>164.11751471759419</v>
      </c>
      <c r="O44" s="4">
        <v>154.19846818161042</v>
      </c>
      <c r="P44" s="4">
        <v>145.27942164562671</v>
      </c>
      <c r="Q44" s="4">
        <v>138.48922284912149</v>
      </c>
      <c r="R44" s="4">
        <v>35.859926669597108</v>
      </c>
      <c r="S44" s="4" cm="1">
        <f t="array" ref="S44:X44">_xlfn.SEQUENCE(1,6,R44-1,(Y44-R44)/6)</f>
        <v>34.859926669597108</v>
      </c>
      <c r="T44" s="4">
        <v>32.131649475969134</v>
      </c>
      <c r="U44" s="4">
        <v>29.403372282341159</v>
      </c>
      <c r="V44" s="4">
        <v>26.675095088713185</v>
      </c>
      <c r="W44" s="4">
        <v>23.946817895085211</v>
      </c>
      <c r="X44" s="4">
        <v>21.218540701457236</v>
      </c>
      <c r="Y44" s="4">
        <v>19.490263507829269</v>
      </c>
      <c r="Z44" s="4">
        <v>16.747700633307062</v>
      </c>
      <c r="AA44" s="4">
        <v>0.14709890109890109</v>
      </c>
      <c r="AB44" s="4">
        <v>250</v>
      </c>
      <c r="AC44" s="4">
        <v>50</v>
      </c>
      <c r="AD44" s="4">
        <v>495</v>
      </c>
      <c r="AE44" s="4">
        <v>16.5</v>
      </c>
      <c r="AF44" s="4">
        <v>205</v>
      </c>
    </row>
    <row r="45" spans="1:32" x14ac:dyDescent="0.3">
      <c r="A45" s="4">
        <v>60.430485200364444</v>
      </c>
      <c r="B45" s="4" cm="1">
        <f t="array" ref="B45:G45">_xlfn.SEQUENCE(1,6,A45-1,(H45-A45)/6)</f>
        <v>59.430485200364444</v>
      </c>
      <c r="C45" s="4">
        <v>57.695315227245274</v>
      </c>
      <c r="D45" s="4">
        <v>55.960145254126104</v>
      </c>
      <c r="E45" s="4">
        <v>54.224975281006934</v>
      </c>
      <c r="F45" s="4">
        <v>52.489805307887764</v>
      </c>
      <c r="G45" s="4">
        <v>50.754635334768594</v>
      </c>
      <c r="H45" s="4">
        <v>50.019465361649445</v>
      </c>
      <c r="I45" s="4">
        <v>204.66079589973015</v>
      </c>
      <c r="J45" s="4" cm="1">
        <f t="array" ref="J45:O45">_xlfn.SEQUENCE(1,6,I45-1,(P45-I45)/6)</f>
        <v>203.66079589973015</v>
      </c>
      <c r="K45" s="4">
        <v>194.38874148930236</v>
      </c>
      <c r="L45" s="4">
        <v>185.11668707887458</v>
      </c>
      <c r="M45" s="4">
        <v>175.84463266844679</v>
      </c>
      <c r="N45" s="4">
        <v>166.57257825801901</v>
      </c>
      <c r="O45" s="4">
        <v>157.30052384759122</v>
      </c>
      <c r="P45" s="4">
        <v>149.02846943716347</v>
      </c>
      <c r="Q45" s="4">
        <v>142.94452387222034</v>
      </c>
      <c r="R45" s="4">
        <v>54.893016423941887</v>
      </c>
      <c r="S45" s="4" cm="1">
        <f t="array" ref="S45:X45">_xlfn.SEQUENCE(1,6,R45-1,(Y45-R45)/6)</f>
        <v>53.893016423941887</v>
      </c>
      <c r="T45" s="4">
        <v>52.334986907843295</v>
      </c>
      <c r="U45" s="4">
        <v>50.776957391744702</v>
      </c>
      <c r="V45" s="4">
        <v>49.218927875646109</v>
      </c>
      <c r="W45" s="4">
        <v>47.660898359547517</v>
      </c>
      <c r="X45" s="4">
        <v>46.102868843448924</v>
      </c>
      <c r="Y45" s="4">
        <v>45.544839327350331</v>
      </c>
      <c r="Z45" s="4">
        <v>44.076345678057109</v>
      </c>
      <c r="AA45" s="4">
        <v>4.3186813186813187E-2</v>
      </c>
      <c r="AB45" s="4">
        <v>250</v>
      </c>
      <c r="AC45" s="4">
        <v>50</v>
      </c>
      <c r="AD45" s="4">
        <v>495</v>
      </c>
      <c r="AE45" s="4">
        <v>43.92</v>
      </c>
      <c r="AF45" s="4">
        <v>205</v>
      </c>
    </row>
    <row r="46" spans="1:32" x14ac:dyDescent="0.3">
      <c r="A46" s="4">
        <v>41.660406126811736</v>
      </c>
      <c r="B46" s="4" cm="1">
        <f t="array" ref="B46:G46">_xlfn.SEQUENCE(1,6,A46-1,(H46-A46)/6)</f>
        <v>40.660406126811736</v>
      </c>
      <c r="C46" s="4">
        <v>37.754332333780461</v>
      </c>
      <c r="D46" s="4">
        <v>34.848258540749185</v>
      </c>
      <c r="E46" s="4">
        <v>31.942184747717913</v>
      </c>
      <c r="F46" s="4">
        <v>29.036110954686642</v>
      </c>
      <c r="G46" s="4">
        <v>26.13003716165537</v>
      </c>
      <c r="H46" s="4">
        <v>24.223963368624098</v>
      </c>
      <c r="I46" s="4">
        <v>84.562371183543533</v>
      </c>
      <c r="J46" s="4" cm="1">
        <f t="array" ref="J46:O46">_xlfn.SEQUENCE(1,6,I46-1,(P46-I46)/6)</f>
        <v>83.562371183543533</v>
      </c>
      <c r="K46" s="4">
        <v>80.533461708177043</v>
      </c>
      <c r="L46" s="4">
        <v>77.504552232810553</v>
      </c>
      <c r="M46" s="4">
        <v>74.475642757444064</v>
      </c>
      <c r="N46" s="4">
        <v>71.446733282077574</v>
      </c>
      <c r="O46" s="4">
        <v>68.417823806711084</v>
      </c>
      <c r="P46" s="4">
        <v>66.388914331344594</v>
      </c>
      <c r="Q46" s="4">
        <v>64.136618637175062</v>
      </c>
      <c r="R46" s="4">
        <v>30.285370683540997</v>
      </c>
      <c r="S46" s="4" cm="1">
        <f t="array" ref="S46:X46">_xlfn.SEQUENCE(1,6,R46-1,(Y46-R46)/6)</f>
        <v>29.285370683540997</v>
      </c>
      <c r="T46" s="4">
        <v>26.89901301215972</v>
      </c>
      <c r="U46" s="4">
        <v>24.512655340778444</v>
      </c>
      <c r="V46" s="4">
        <v>22.126297669397168</v>
      </c>
      <c r="W46" s="4">
        <v>19.739939998015892</v>
      </c>
      <c r="X46" s="4">
        <v>17.353582326634616</v>
      </c>
      <c r="Y46" s="4">
        <v>15.967224655253332</v>
      </c>
      <c r="Z46" s="4">
        <v>13.627645122058183</v>
      </c>
      <c r="AA46" s="4">
        <v>0.15942857142857142</v>
      </c>
      <c r="AB46" s="4">
        <v>196</v>
      </c>
      <c r="AC46" s="4">
        <v>38.5</v>
      </c>
      <c r="AD46" s="4">
        <v>397</v>
      </c>
      <c r="AE46" s="4">
        <v>13.46</v>
      </c>
      <c r="AF46" s="4">
        <v>85</v>
      </c>
    </row>
    <row r="47" spans="1:32" x14ac:dyDescent="0.3">
      <c r="A47" s="4">
        <v>42.497061133665341</v>
      </c>
      <c r="B47" s="4" cm="1">
        <f t="array" ref="B47:G47">_xlfn.SEQUENCE(1,6,A47-1,(H47-A47)/6)</f>
        <v>41.497061133665341</v>
      </c>
      <c r="C47" s="4">
        <v>38.370182649928353</v>
      </c>
      <c r="D47" s="4">
        <v>35.243304166191365</v>
      </c>
      <c r="E47" s="4">
        <v>32.116425682454377</v>
      </c>
      <c r="F47" s="4">
        <v>28.989547198717389</v>
      </c>
      <c r="G47" s="4">
        <v>25.862668714980401</v>
      </c>
      <c r="H47" s="4">
        <v>23.735790231243421</v>
      </c>
      <c r="I47" s="4">
        <v>115.21708843625483</v>
      </c>
      <c r="J47" s="4" cm="1">
        <f t="array" ref="J47:O47">_xlfn.SEQUENCE(1,6,I47-1,(P47-I47)/6)</f>
        <v>114.21708843625483</v>
      </c>
      <c r="K47" s="4">
        <v>109.36557341035422</v>
      </c>
      <c r="L47" s="4">
        <v>104.51405838445361</v>
      </c>
      <c r="M47" s="4">
        <v>99.662543358552995</v>
      </c>
      <c r="N47" s="4">
        <v>94.811028332652384</v>
      </c>
      <c r="O47" s="4">
        <v>89.959513306751774</v>
      </c>
      <c r="P47" s="4">
        <v>86.107998280851163</v>
      </c>
      <c r="Q47" s="4">
        <v>82.320777721160553</v>
      </c>
      <c r="R47" s="4">
        <v>30.007821925154179</v>
      </c>
      <c r="S47" s="4" cm="1">
        <f t="array" ref="S47:X47">_xlfn.SEQUENCE(1,6,R47-1,(Y47-R47)/6)</f>
        <v>29.007821925154179</v>
      </c>
      <c r="T47" s="4">
        <v>26.448339621885541</v>
      </c>
      <c r="U47" s="4">
        <v>23.888857318616903</v>
      </c>
      <c r="V47" s="4">
        <v>21.329375015348266</v>
      </c>
      <c r="W47" s="4">
        <v>18.769892712079628</v>
      </c>
      <c r="X47" s="4">
        <v>16.21041040881099</v>
      </c>
      <c r="Y47" s="4">
        <v>14.650928105542345</v>
      </c>
      <c r="Z47" s="4">
        <v>12.160001641866472</v>
      </c>
      <c r="AA47" s="4">
        <v>0.17530434782608695</v>
      </c>
      <c r="AB47" s="4">
        <v>211</v>
      </c>
      <c r="AC47" s="4">
        <v>42</v>
      </c>
      <c r="AD47" s="4">
        <v>432</v>
      </c>
      <c r="AE47" s="4">
        <v>11.69</v>
      </c>
      <c r="AF47" s="4">
        <v>115</v>
      </c>
    </row>
    <row r="48" spans="1:32" x14ac:dyDescent="0.3">
      <c r="A48" s="4">
        <v>54.317179428306332</v>
      </c>
      <c r="B48" s="4" cm="1">
        <f t="array" ref="B48:G48">_xlfn.SEQUENCE(1,6,A48-1,(H48-A48)/6)</f>
        <v>53.317179428306332</v>
      </c>
      <c r="C48" s="4">
        <v>51.123816441722376</v>
      </c>
      <c r="D48" s="4">
        <v>48.930453455138419</v>
      </c>
      <c r="E48" s="4">
        <v>46.737090468554463</v>
      </c>
      <c r="F48" s="4">
        <v>44.543727481970507</v>
      </c>
      <c r="G48" s="4">
        <v>42.35036449538655</v>
      </c>
      <c r="H48" s="4">
        <v>41.157001508802601</v>
      </c>
      <c r="I48" s="4">
        <v>114.13076571437632</v>
      </c>
      <c r="J48" s="4" cm="1">
        <f t="array" ref="J48:O48">_xlfn.SEQUENCE(1,6,I48-1,(P48-I48)/6)</f>
        <v>113.13076571437632</v>
      </c>
      <c r="K48" s="4">
        <v>109.10506310171453</v>
      </c>
      <c r="L48" s="4">
        <v>105.07936048905275</v>
      </c>
      <c r="M48" s="4">
        <v>101.05365787639096</v>
      </c>
      <c r="N48" s="4">
        <v>97.027955263729169</v>
      </c>
      <c r="O48" s="4">
        <v>93.00225265106738</v>
      </c>
      <c r="P48" s="4">
        <v>89.976550038405591</v>
      </c>
      <c r="Q48" s="4">
        <v>87.142846242409163</v>
      </c>
      <c r="R48" s="4">
        <v>47.729366645951536</v>
      </c>
      <c r="S48" s="4" cm="1">
        <f t="array" ref="S48:X48">_xlfn.SEQUENCE(1,6,R48-1,(Y48-R48)/6)</f>
        <v>46.729366645951536</v>
      </c>
      <c r="T48" s="4">
        <v>45.031032405311578</v>
      </c>
      <c r="U48" s="4">
        <v>43.332698164671612</v>
      </c>
      <c r="V48" s="4">
        <v>41.634363924031646</v>
      </c>
      <c r="W48" s="4">
        <v>39.936029683391681</v>
      </c>
      <c r="X48" s="4">
        <v>38.237695442751715</v>
      </c>
      <c r="Y48" s="4">
        <v>37.539361202111763</v>
      </c>
      <c r="Z48" s="4">
        <v>35.873006517940915</v>
      </c>
      <c r="AA48" s="4">
        <v>0.11136263736263735</v>
      </c>
      <c r="AB48" s="4">
        <v>211</v>
      </c>
      <c r="AC48" s="4">
        <v>42</v>
      </c>
      <c r="AD48" s="4">
        <v>432</v>
      </c>
      <c r="AE48" s="4">
        <v>35.76</v>
      </c>
      <c r="AF48" s="4">
        <v>115</v>
      </c>
    </row>
    <row r="49" spans="1:32" x14ac:dyDescent="0.3">
      <c r="A49" s="4">
        <v>43.710126383786452</v>
      </c>
      <c r="B49" s="4" cm="1">
        <f t="array" ref="B49:G49">_xlfn.SEQUENCE(1,6,A49-1,(H49-A49)/6)</f>
        <v>42.710126383786452</v>
      </c>
      <c r="C49" s="4">
        <v>40.224381937669321</v>
      </c>
      <c r="D49" s="4">
        <v>37.73863749155219</v>
      </c>
      <c r="E49" s="4">
        <v>35.252893045435059</v>
      </c>
      <c r="F49" s="4">
        <v>32.767148599317927</v>
      </c>
      <c r="G49" s="4">
        <v>30.281404153200796</v>
      </c>
      <c r="H49" s="4">
        <v>28.795659707083654</v>
      </c>
      <c r="I49" s="4">
        <v>143.95272035675225</v>
      </c>
      <c r="J49" s="4" cm="1">
        <f t="array" ref="J49:O49">_xlfn.SEQUENCE(1,6,I49-1,(P49-I49)/6)</f>
        <v>142.95272035675225</v>
      </c>
      <c r="K49" s="4">
        <v>136.18874062903623</v>
      </c>
      <c r="L49" s="4">
        <v>129.42476090132021</v>
      </c>
      <c r="M49" s="4">
        <v>122.66078117360419</v>
      </c>
      <c r="N49" s="4">
        <v>115.89680144588817</v>
      </c>
      <c r="O49" s="4">
        <v>109.13282171817215</v>
      </c>
      <c r="P49" s="4">
        <v>103.36884199045609</v>
      </c>
      <c r="Q49" s="4">
        <v>98.779110638894977</v>
      </c>
      <c r="R49" s="4">
        <v>31.404700354814132</v>
      </c>
      <c r="S49" s="4" cm="1">
        <f t="array" ref="S49:X49">_xlfn.SEQUENCE(1,6,R49-1,(Y49-R49)/6)</f>
        <v>30.404700354814132</v>
      </c>
      <c r="T49" s="4">
        <v>27.927414013079478</v>
      </c>
      <c r="U49" s="4">
        <v>25.450127671344823</v>
      </c>
      <c r="V49" s="4">
        <v>22.972841329610169</v>
      </c>
      <c r="W49" s="4">
        <v>20.495554987875515</v>
      </c>
      <c r="X49" s="4">
        <v>18.018268646140861</v>
      </c>
      <c r="Y49" s="4">
        <v>16.540982304406203</v>
      </c>
      <c r="Z49" s="4">
        <v>14.019202328809275</v>
      </c>
      <c r="AA49" s="4">
        <f>[1]Alfa!$F$16</f>
        <v>0.15717391304347827</v>
      </c>
      <c r="AB49" s="4">
        <v>221</v>
      </c>
      <c r="AC49" s="4">
        <v>44</v>
      </c>
      <c r="AD49" s="4">
        <v>438</v>
      </c>
      <c r="AE49" s="4">
        <v>13.8</v>
      </c>
      <c r="AF49" s="4">
        <v>145</v>
      </c>
    </row>
    <row r="50" spans="1:32" x14ac:dyDescent="0.3">
      <c r="A50" s="4">
        <v>56.868520343280203</v>
      </c>
      <c r="B50" s="4" cm="1">
        <f t="array" ref="B50:G50">_xlfn.SEQUENCE(1,6,A50-1,(H50-A50)/6)</f>
        <v>55.868520343280203</v>
      </c>
      <c r="C50" s="4">
        <v>54.132629251002157</v>
      </c>
      <c r="D50" s="4">
        <v>52.396738158724119</v>
      </c>
      <c r="E50" s="4">
        <v>50.660847066446081</v>
      </c>
      <c r="F50" s="4">
        <v>48.924955974168043</v>
      </c>
      <c r="G50" s="4">
        <v>47.189064881890005</v>
      </c>
      <c r="H50" s="4">
        <v>46.453173789611952</v>
      </c>
      <c r="I50" s="4">
        <v>143.15180585352542</v>
      </c>
      <c r="J50" s="4" cm="1">
        <f t="array" ref="J50:O50">_xlfn.SEQUENCE(1,6,I50-1,(P50-I50)/6)</f>
        <v>142.15180585352542</v>
      </c>
      <c r="K50" s="4">
        <v>136.41669095873465</v>
      </c>
      <c r="L50" s="4">
        <v>130.68157606394388</v>
      </c>
      <c r="M50" s="4">
        <v>124.94646116915311</v>
      </c>
      <c r="N50" s="4">
        <v>119.21134627436234</v>
      </c>
      <c r="O50" s="4">
        <v>113.47623137957157</v>
      </c>
      <c r="P50" s="4">
        <v>108.74111648478083</v>
      </c>
      <c r="Q50" s="4">
        <v>103.60476287038246</v>
      </c>
      <c r="R50" s="4">
        <v>51.083476202433111</v>
      </c>
      <c r="S50" s="4" cm="1">
        <f t="array" ref="S50:X50">_xlfn.SEQUENCE(1,6,R50-1,(Y50-R50)/6)</f>
        <v>50.083476202433111</v>
      </c>
      <c r="T50" s="4">
        <v>48.457328932009219</v>
      </c>
      <c r="U50" s="4">
        <v>46.831181661585326</v>
      </c>
      <c r="V50" s="4">
        <v>45.205034391161433</v>
      </c>
      <c r="W50" s="4">
        <v>43.578887120737541</v>
      </c>
      <c r="X50" s="4">
        <v>41.952739850313648</v>
      </c>
      <c r="Y50" s="4">
        <v>41.326592579889763</v>
      </c>
      <c r="Z50" s="4">
        <v>39.604825930421242</v>
      </c>
      <c r="AA50" s="4">
        <f>[2]Alfa!$F$16</f>
        <v>8.9800000000000005E-2</v>
      </c>
      <c r="AB50" s="4">
        <v>221</v>
      </c>
      <c r="AC50" s="4">
        <v>44</v>
      </c>
      <c r="AD50" s="4">
        <v>438</v>
      </c>
      <c r="AE50" s="4">
        <v>39.5</v>
      </c>
      <c r="AF50" s="4">
        <v>145</v>
      </c>
    </row>
    <row r="51" spans="1:32" x14ac:dyDescent="0.3">
      <c r="A51" s="4">
        <v>49.303390804574406</v>
      </c>
      <c r="B51" s="4" cm="1">
        <f t="array" ref="B51:G51">_xlfn.SEQUENCE(1,6,A51-1,(H51-A51)/6)</f>
        <v>48.303390804574406</v>
      </c>
      <c r="C51" s="4">
        <v>45.259640668951711</v>
      </c>
      <c r="D51" s="4">
        <v>42.215890533329016</v>
      </c>
      <c r="E51" s="4">
        <v>39.172140397706322</v>
      </c>
      <c r="F51" s="4">
        <v>36.128390262083627</v>
      </c>
      <c r="G51" s="4">
        <v>33.084640126460933</v>
      </c>
      <c r="H51" s="4">
        <v>31.040889990838231</v>
      </c>
      <c r="I51" s="4">
        <v>83.615254125400384</v>
      </c>
      <c r="J51" s="4" cm="1">
        <f t="array" ref="J51:O51">_xlfn.SEQUENCE(1,6,I51-1,(P51-I51)/6)</f>
        <v>82.615254125400384</v>
      </c>
      <c r="K51" s="4">
        <v>79.887889782040219</v>
      </c>
      <c r="L51" s="4">
        <v>77.160525438680054</v>
      </c>
      <c r="M51" s="4">
        <v>74.433161095319889</v>
      </c>
      <c r="N51" s="4">
        <v>71.705796751959724</v>
      </c>
      <c r="O51" s="4">
        <v>68.978432408599559</v>
      </c>
      <c r="P51" s="4">
        <v>67.251068065239352</v>
      </c>
      <c r="Q51" s="4">
        <v>65.152878780243711</v>
      </c>
      <c r="R51" s="4">
        <v>38.509385850679287</v>
      </c>
      <c r="S51" s="4" cm="1">
        <f t="array" ref="S51:X51">_xlfn.SEQUENCE(1,6,R51-1,(Y51-R51)/6)</f>
        <v>37.509385850679287</v>
      </c>
      <c r="T51" s="4">
        <v>33.44766466792958</v>
      </c>
      <c r="U51" s="4">
        <v>29.385943485179869</v>
      </c>
      <c r="V51" s="4">
        <v>25.324222302430158</v>
      </c>
      <c r="W51" s="4">
        <v>21.262501119680447</v>
      </c>
      <c r="X51" s="4">
        <v>17.200779936930736</v>
      </c>
      <c r="Y51" s="4">
        <v>14.139058754181029</v>
      </c>
      <c r="Z51" s="4">
        <v>9.0634030218821025</v>
      </c>
      <c r="AA51" s="8">
        <f>[3]Alfa!$F$16</f>
        <v>0.1503956043956044</v>
      </c>
      <c r="AB51" s="4">
        <v>197</v>
      </c>
      <c r="AC51" s="4">
        <v>39</v>
      </c>
      <c r="AD51" s="4">
        <v>195</v>
      </c>
      <c r="AE51" s="4">
        <v>8</v>
      </c>
      <c r="AF51" s="4">
        <v>85</v>
      </c>
    </row>
    <row r="52" spans="1:32" x14ac:dyDescent="0.3">
      <c r="A52" s="4">
        <v>54.012846498755096</v>
      </c>
      <c r="B52" s="4" cm="1">
        <f t="array" ref="B52:G52">_xlfn.SEQUENCE(1,6,A52-1,(H52-A52)/6)</f>
        <v>53.012846498755096</v>
      </c>
      <c r="C52" s="4">
        <v>49.79460291374383</v>
      </c>
      <c r="D52" s="4">
        <v>46.576359328732565</v>
      </c>
      <c r="E52" s="4">
        <v>43.358115743721299</v>
      </c>
      <c r="F52" s="4">
        <v>40.139872158710034</v>
      </c>
      <c r="G52" s="4">
        <v>36.921628573698769</v>
      </c>
      <c r="H52" s="4">
        <v>34.703384988687482</v>
      </c>
      <c r="I52" s="4">
        <v>143.81508569631009</v>
      </c>
      <c r="J52" s="4" cm="1">
        <f t="array" ref="J52:O52">_xlfn.SEQUENCE(1,6,I52-1,(P52-I52)/6)</f>
        <v>142.81508569631009</v>
      </c>
      <c r="K52" s="4">
        <v>136.67161247788019</v>
      </c>
      <c r="L52" s="4">
        <v>130.52813925945028</v>
      </c>
      <c r="M52" s="4">
        <v>124.38466604102038</v>
      </c>
      <c r="N52" s="4">
        <v>118.24119282259048</v>
      </c>
      <c r="O52" s="4">
        <v>112.09771960416057</v>
      </c>
      <c r="P52" s="4">
        <v>106.95424638573066</v>
      </c>
      <c r="Q52" s="4">
        <v>101.66208186193315</v>
      </c>
      <c r="R52" s="4">
        <v>40.858528735032671</v>
      </c>
      <c r="S52" s="4" cm="1">
        <f t="array" ref="S52:X52">_xlfn.SEQUENCE(1,6,R52-1,(Y52-R52)/6)</f>
        <v>39.858528735032671</v>
      </c>
      <c r="T52" s="4">
        <v>35.430690083642155</v>
      </c>
      <c r="U52" s="4">
        <v>31.002851432251642</v>
      </c>
      <c r="V52" s="4">
        <v>26.57501278086113</v>
      </c>
      <c r="W52" s="4">
        <v>22.147174129470617</v>
      </c>
      <c r="X52" s="4">
        <v>17.719335478080104</v>
      </c>
      <c r="Y52" s="4">
        <v>14.291496826689588</v>
      </c>
      <c r="Z52" s="4">
        <v>8.7995534858276727</v>
      </c>
      <c r="AA52" s="4">
        <f>[4]Alfa!$F$16</f>
        <v>0.14591208791208793</v>
      </c>
      <c r="AB52" s="4">
        <v>221</v>
      </c>
      <c r="AC52" s="4">
        <v>44</v>
      </c>
      <c r="AD52" s="4">
        <v>225</v>
      </c>
      <c r="AE52" s="4">
        <v>8</v>
      </c>
      <c r="AF52" s="4">
        <v>145</v>
      </c>
    </row>
    <row r="53" spans="1:32" x14ac:dyDescent="0.3">
      <c r="A53" s="4">
        <v>54.772153146486893</v>
      </c>
      <c r="B53" s="4" cm="1">
        <f t="array" ref="B53:G53">_xlfn.SEQUENCE(1,6,A53-1,(H53-A53)/6)</f>
        <v>53.772153146486893</v>
      </c>
      <c r="C53" s="4">
        <v>51.130326630479196</v>
      </c>
      <c r="D53" s="4">
        <v>48.488500114471499</v>
      </c>
      <c r="E53" s="4">
        <v>45.846673598463802</v>
      </c>
      <c r="F53" s="4">
        <v>43.204847082456105</v>
      </c>
      <c r="G53" s="4">
        <v>40.563020566448408</v>
      </c>
      <c r="H53" s="4">
        <v>38.921194050440704</v>
      </c>
      <c r="I53" s="4">
        <v>204.52302540323319</v>
      </c>
      <c r="J53" s="4" cm="1">
        <f t="array" ref="J53:O53">_xlfn.SEQUENCE(1,6,I53-1,(P53-I53)/6)</f>
        <v>203.52302540323319</v>
      </c>
      <c r="K53" s="4">
        <v>193.79316050212259</v>
      </c>
      <c r="L53" s="4">
        <v>184.06329560101199</v>
      </c>
      <c r="M53" s="4">
        <v>174.33343069990138</v>
      </c>
      <c r="N53" s="4">
        <v>164.60356579879078</v>
      </c>
      <c r="O53" s="4">
        <v>154.87370089768018</v>
      </c>
      <c r="P53" s="4">
        <v>146.14383599656955</v>
      </c>
      <c r="Q53" s="4">
        <v>139.58884709672836</v>
      </c>
      <c r="R53" s="4">
        <v>42.928053270550116</v>
      </c>
      <c r="S53" s="4" cm="1">
        <f t="array" ref="S53:X53">_xlfn.SEQUENCE(1,6,R53-1,(Y53-R53)/6)</f>
        <v>41.928053270550116</v>
      </c>
      <c r="T53" s="4">
        <v>37.182882712721678</v>
      </c>
      <c r="U53" s="4">
        <v>32.437712154893241</v>
      </c>
      <c r="V53" s="4">
        <v>27.692541597064803</v>
      </c>
      <c r="W53" s="4">
        <v>22.947371039236366</v>
      </c>
      <c r="X53" s="4">
        <v>18.202200481407928</v>
      </c>
      <c r="Y53" s="4">
        <v>14.457029923579498</v>
      </c>
      <c r="Z53" s="4">
        <v>8.5963311627588581</v>
      </c>
      <c r="AA53" s="4">
        <f>[5]Alfa!$F$16</f>
        <v>0.12180000000000001</v>
      </c>
      <c r="AB53" s="4">
        <v>250</v>
      </c>
      <c r="AC53" s="4">
        <v>50</v>
      </c>
      <c r="AD53" s="4">
        <v>255</v>
      </c>
      <c r="AE53" s="4">
        <v>8</v>
      </c>
      <c r="AF53" s="4">
        <v>205</v>
      </c>
    </row>
    <row r="54" spans="1:32" x14ac:dyDescent="0.3">
      <c r="A54" s="4">
        <v>54.893947593158657</v>
      </c>
      <c r="B54" s="4" cm="1">
        <f t="array" ref="B54:G54">_xlfn.SEQUENCE(1,6,A54-1,(H54-A54)/6)</f>
        <v>53.893947593158657</v>
      </c>
      <c r="C54" s="4">
        <v>50.708400289240977</v>
      </c>
      <c r="D54" s="4">
        <v>47.522852985323297</v>
      </c>
      <c r="E54" s="4">
        <v>44.337305681405617</v>
      </c>
      <c r="F54" s="4">
        <v>41.151758377487937</v>
      </c>
      <c r="G54" s="4">
        <v>37.966211073570257</v>
      </c>
      <c r="H54" s="4">
        <v>35.780663769652563</v>
      </c>
      <c r="I54" s="4">
        <v>84.368139768286923</v>
      </c>
      <c r="J54" s="4" cm="1">
        <f t="array" ref="J54:O54">_xlfn.SEQUENCE(1,6,I54-1,(P54-I54)/6)</f>
        <v>83.368139768286923</v>
      </c>
      <c r="K54" s="4">
        <v>80.408558983052629</v>
      </c>
      <c r="L54" s="4">
        <v>77.448978197818334</v>
      </c>
      <c r="M54" s="4">
        <v>74.48939741258404</v>
      </c>
      <c r="N54" s="4">
        <v>71.529816627349746</v>
      </c>
      <c r="O54" s="4">
        <v>68.570235842115451</v>
      </c>
      <c r="P54" s="4">
        <v>66.610655056881171</v>
      </c>
      <c r="Q54" s="4">
        <v>63.121819428536661</v>
      </c>
      <c r="R54" s="4">
        <v>46.352358225233615</v>
      </c>
      <c r="S54" s="4" cm="1">
        <f t="array" ref="S54:X54">_xlfn.SEQUENCE(1,6,R54-1,(Y54-R54)/6)</f>
        <v>45.352358225233615</v>
      </c>
      <c r="T54" s="4">
        <v>40.117966476661003</v>
      </c>
      <c r="U54" s="4">
        <v>34.883574728088391</v>
      </c>
      <c r="V54" s="4">
        <v>29.649182979515775</v>
      </c>
      <c r="W54" s="4">
        <v>24.414791230943159</v>
      </c>
      <c r="X54" s="4">
        <v>19.180399482370543</v>
      </c>
      <c r="Y54" s="4">
        <v>14.946007733797927</v>
      </c>
      <c r="Z54" s="4">
        <v>9.8666520583983939</v>
      </c>
      <c r="AA54" s="4">
        <f>[6]Alfa!$F$16</f>
        <v>0.12909890109890113</v>
      </c>
      <c r="AB54" s="4">
        <v>119</v>
      </c>
      <c r="AC54" s="4">
        <v>23</v>
      </c>
      <c r="AD54" s="4">
        <v>120</v>
      </c>
      <c r="AE54" s="4">
        <v>9</v>
      </c>
      <c r="AF54" s="4">
        <v>85</v>
      </c>
    </row>
    <row r="55" spans="1:32" x14ac:dyDescent="0.3">
      <c r="A55" s="4">
        <v>60.1100276513776</v>
      </c>
      <c r="B55" s="4" cm="1">
        <f t="array" ref="B55:G55">_xlfn.SEQUENCE(1,6,A55-1,(H55-A55)/6)</f>
        <v>59.1100276513776</v>
      </c>
      <c r="C55" s="4">
        <v>55.628578368560213</v>
      </c>
      <c r="D55" s="4">
        <v>52.147129085742826</v>
      </c>
      <c r="E55" s="4">
        <v>48.665679802925439</v>
      </c>
      <c r="F55" s="4">
        <v>45.184230520108052</v>
      </c>
      <c r="G55" s="4">
        <v>41.702781237290665</v>
      </c>
      <c r="H55" s="4">
        <v>39.221331954473278</v>
      </c>
      <c r="I55" s="4">
        <v>143.88198316581187</v>
      </c>
      <c r="J55" s="4" cm="1">
        <f t="array" ref="J55:O55">_xlfn.SEQUENCE(1,6,I55-1,(P55-I55)/6)</f>
        <v>142.88198316581187</v>
      </c>
      <c r="K55" s="4">
        <v>135.90859997844441</v>
      </c>
      <c r="L55" s="4">
        <v>128.93521679107695</v>
      </c>
      <c r="M55" s="4">
        <v>121.96183360370949</v>
      </c>
      <c r="N55" s="4">
        <v>114.98845041634203</v>
      </c>
      <c r="O55" s="4">
        <v>108.01506722897457</v>
      </c>
      <c r="P55" s="4">
        <v>102.0416840416071</v>
      </c>
      <c r="Q55" s="4">
        <v>97.229747548132863</v>
      </c>
      <c r="R55" s="4">
        <v>49.715241746581285</v>
      </c>
      <c r="S55" s="4" cm="1">
        <f t="array" ref="S55:X55">_xlfn.SEQUENCE(1,6,R55-1,(Y55-R55)/6)</f>
        <v>48.715241746581285</v>
      </c>
      <c r="T55" s="4">
        <v>43.037478092186419</v>
      </c>
      <c r="U55" s="4">
        <v>37.359714437791553</v>
      </c>
      <c r="V55" s="4">
        <v>31.681950783396687</v>
      </c>
      <c r="W55" s="4">
        <v>26.004187129001821</v>
      </c>
      <c r="X55" s="4">
        <v>20.326423474606955</v>
      </c>
      <c r="Y55" s="4">
        <v>15.648659820212082</v>
      </c>
      <c r="Z55" s="4">
        <v>9.3768064306762327</v>
      </c>
      <c r="AA55" s="4">
        <f>[7]Sheet1!$F$16</f>
        <v>0</v>
      </c>
      <c r="AB55" s="4">
        <v>123</v>
      </c>
      <c r="AC55" s="4">
        <v>27</v>
      </c>
      <c r="AD55" s="4">
        <v>135</v>
      </c>
      <c r="AE55" s="4">
        <v>8.9</v>
      </c>
      <c r="AF55" s="4">
        <v>145</v>
      </c>
    </row>
    <row r="56" spans="1:32" x14ac:dyDescent="0.3">
      <c r="A56" s="4">
        <v>63.137219511385126</v>
      </c>
      <c r="B56" s="4" cm="1">
        <f t="array" ref="B56:G56">_xlfn.SEQUENCE(1,6,A56-1,(H56-A56)/6)</f>
        <v>62.137219511385126</v>
      </c>
      <c r="C56" s="4">
        <v>58.491121161291503</v>
      </c>
      <c r="D56" s="4">
        <v>54.845022811197879</v>
      </c>
      <c r="E56" s="4">
        <v>51.198924461104255</v>
      </c>
      <c r="F56" s="4">
        <v>47.552826111010631</v>
      </c>
      <c r="G56" s="4">
        <v>43.906727760917008</v>
      </c>
      <c r="H56" s="4">
        <v>41.260629410823363</v>
      </c>
      <c r="I56" s="4">
        <v>204.66824927575183</v>
      </c>
      <c r="J56" s="4" cm="1">
        <f t="array" ref="J56:O56">_xlfn.SEQUENCE(1,6,I56-1,(P56-I56)/6)</f>
        <v>203.66824927575183</v>
      </c>
      <c r="K56" s="4">
        <v>192.41978521750579</v>
      </c>
      <c r="L56" s="4">
        <v>181.17132115925975</v>
      </c>
      <c r="M56" s="4">
        <v>169.9228571010137</v>
      </c>
      <c r="N56" s="4">
        <v>158.67439304276766</v>
      </c>
      <c r="O56" s="4">
        <v>147.42592898452162</v>
      </c>
      <c r="P56" s="4">
        <v>137.17746492627558</v>
      </c>
      <c r="Q56" s="4">
        <v>129.74859095684047</v>
      </c>
      <c r="R56" s="4">
        <v>52.014034378271518</v>
      </c>
      <c r="S56" s="4" cm="1">
        <f t="array" ref="S56:X56">_xlfn.SEQUENCE(1,6,R56-1,(Y56-R56)/6)</f>
        <v>51.014034378271518</v>
      </c>
      <c r="T56" s="4">
        <v>45.070678062026154</v>
      </c>
      <c r="U56" s="4">
        <v>39.12732174578079</v>
      </c>
      <c r="V56" s="4">
        <v>33.183965429535426</v>
      </c>
      <c r="W56" s="4">
        <v>27.240609113290063</v>
      </c>
      <c r="X56" s="4">
        <v>21.297252797044699</v>
      </c>
      <c r="Y56" s="4">
        <v>16.353896480799335</v>
      </c>
      <c r="Z56" s="4">
        <v>9.6891274385989945</v>
      </c>
      <c r="AA56" s="4">
        <f>[8]Alfa!$F$16</f>
        <v>9.6666666666666651E-2</v>
      </c>
      <c r="AB56" s="4">
        <v>149</v>
      </c>
      <c r="AC56" s="4">
        <v>30</v>
      </c>
      <c r="AD56" s="4">
        <v>150</v>
      </c>
      <c r="AE56" s="4">
        <v>8.8000000000000007</v>
      </c>
      <c r="AF56" s="4">
        <v>205</v>
      </c>
    </row>
    <row r="57" spans="1:32" x14ac:dyDescent="0.3">
      <c r="A57" s="4">
        <v>48.051605032980945</v>
      </c>
      <c r="B57" s="4" cm="1">
        <f t="array" ref="B57:G57">_xlfn.SEQUENCE(1,6,A57-1,(H57-A57)/6)</f>
        <v>47.051605032980945</v>
      </c>
      <c r="C57" s="4">
        <v>43.642048054345992</v>
      </c>
      <c r="D57" s="4">
        <v>40.232491075711039</v>
      </c>
      <c r="E57" s="4">
        <v>36.822934097076086</v>
      </c>
      <c r="F57" s="4">
        <v>33.413377118441133</v>
      </c>
      <c r="G57" s="4">
        <v>30.003820139806184</v>
      </c>
      <c r="H57" s="4">
        <v>27.594263161171249</v>
      </c>
      <c r="I57" s="4">
        <v>83.774629045195908</v>
      </c>
      <c r="J57" s="4" cm="1">
        <f t="array" ref="J57:O57">_xlfn.SEQUENCE(1,6,I57-1,(P57-I57)/6)</f>
        <v>82.774629045195908</v>
      </c>
      <c r="K57" s="4">
        <v>80.860937917866877</v>
      </c>
      <c r="L57" s="4">
        <v>78.947246790537847</v>
      </c>
      <c r="M57" s="4">
        <v>77.033555663208816</v>
      </c>
      <c r="N57" s="4">
        <v>75.119864535879785</v>
      </c>
      <c r="O57" s="4">
        <v>73.206173408550754</v>
      </c>
      <c r="P57" s="4">
        <v>72.292482281221751</v>
      </c>
      <c r="Q57" s="4">
        <v>70.565311909051829</v>
      </c>
      <c r="R57" s="4">
        <v>33.50429860207236</v>
      </c>
      <c r="S57" s="4" cm="1">
        <f t="array" ref="S57:X57">_xlfn.SEQUENCE(1,6,R57-1,(Y57-R57)/6)</f>
        <v>32.50429860207236</v>
      </c>
      <c r="T57" s="4">
        <v>28.976663467228871</v>
      </c>
      <c r="U57" s="4">
        <v>25.449028332385382</v>
      </c>
      <c r="V57" s="4">
        <v>21.921393197541892</v>
      </c>
      <c r="W57" s="4">
        <v>18.393758062698403</v>
      </c>
      <c r="X57" s="4">
        <v>14.866122927854914</v>
      </c>
      <c r="Y57" s="4">
        <v>12.338487793011424</v>
      </c>
      <c r="Z57" s="4">
        <v>8.0387978982744706</v>
      </c>
      <c r="AA57" s="4">
        <f>[9]Alfa!$F$16</f>
        <v>0.2603669724770642</v>
      </c>
      <c r="AB57" s="4">
        <v>400</v>
      </c>
      <c r="AC57" s="4">
        <v>80</v>
      </c>
      <c r="AD57" s="4">
        <v>405</v>
      </c>
      <c r="AE57" s="4">
        <v>7.9</v>
      </c>
      <c r="AF57" s="4">
        <v>85</v>
      </c>
    </row>
    <row r="58" spans="1:32" x14ac:dyDescent="0.3">
      <c r="A58" s="4">
        <v>49.59029515133026</v>
      </c>
      <c r="B58" s="4" cm="1">
        <f t="array" ref="B58:G58">_xlfn.SEQUENCE(1,6,A58-1,(H58-A58)/6)</f>
        <v>48.59029515133026</v>
      </c>
      <c r="C58" s="4">
        <v>44.913360286047151</v>
      </c>
      <c r="D58" s="4">
        <v>41.236425420764036</v>
      </c>
      <c r="E58" s="4">
        <v>37.55949055548092</v>
      </c>
      <c r="F58" s="4">
        <v>33.882555690197805</v>
      </c>
      <c r="G58" s="4">
        <v>30.205620824914693</v>
      </c>
      <c r="H58" s="4">
        <v>27.528685959631588</v>
      </c>
      <c r="I58" s="4">
        <v>144.07083286702004</v>
      </c>
      <c r="J58" s="4" cm="1">
        <f t="array" ref="J58:O58">_xlfn.SEQUENCE(1,6,I58-1,(P58-I58)/6)</f>
        <v>143.07083286702004</v>
      </c>
      <c r="K58" s="4">
        <v>138.37246681283722</v>
      </c>
      <c r="L58" s="4">
        <v>133.67410075865439</v>
      </c>
      <c r="M58" s="4">
        <v>128.97573470447156</v>
      </c>
      <c r="N58" s="4">
        <v>124.27736865028872</v>
      </c>
      <c r="O58" s="4">
        <v>119.57900259610588</v>
      </c>
      <c r="P58" s="4">
        <v>115.88063654192301</v>
      </c>
      <c r="Q58" s="4">
        <v>111.56246242981007</v>
      </c>
      <c r="R58" s="4">
        <v>34.332329282736893</v>
      </c>
      <c r="S58" s="4" cm="1">
        <f t="array" ref="S58:X58">_xlfn.SEQUENCE(1,6,R58-1,(Y58-R58)/6)</f>
        <v>33.332329282736893</v>
      </c>
      <c r="T58" s="4">
        <v>29.649473785311535</v>
      </c>
      <c r="U58" s="4">
        <v>25.966618287886178</v>
      </c>
      <c r="V58" s="4">
        <v>22.28376279046082</v>
      </c>
      <c r="W58" s="4">
        <v>18.600907293035462</v>
      </c>
      <c r="X58" s="4">
        <v>14.918051795610104</v>
      </c>
      <c r="Y58" s="4">
        <v>12.235196298184743</v>
      </c>
      <c r="Z58" s="4">
        <v>7.7819184936486749</v>
      </c>
      <c r="AA58" s="4">
        <f>[10]Alfa!$F$16</f>
        <v>0.236697247706422</v>
      </c>
      <c r="AB58" s="4">
        <v>450</v>
      </c>
      <c r="AC58" s="4">
        <v>90</v>
      </c>
      <c r="AD58" s="4">
        <v>450</v>
      </c>
      <c r="AE58" s="4">
        <v>7.3</v>
      </c>
      <c r="AF58" s="4">
        <v>145</v>
      </c>
    </row>
    <row r="59" spans="1:32" x14ac:dyDescent="0.3">
      <c r="A59" s="4">
        <v>53.581416004367135</v>
      </c>
      <c r="B59" s="4" cm="1">
        <f t="array" ref="B59:G59">_xlfn.SEQUENCE(1,6,A59-1,(H59-A59)/6)</f>
        <v>52.581416004367135</v>
      </c>
      <c r="C59" s="4">
        <v>48.888444052557631</v>
      </c>
      <c r="D59" s="4">
        <v>45.19547210074812</v>
      </c>
      <c r="E59" s="4">
        <v>41.502500148938609</v>
      </c>
      <c r="F59" s="4">
        <v>37.809528197129097</v>
      </c>
      <c r="G59" s="4">
        <v>34.116556245319586</v>
      </c>
      <c r="H59" s="4">
        <v>31.423584293510089</v>
      </c>
      <c r="I59" s="4">
        <v>204.97835695158508</v>
      </c>
      <c r="J59" s="4" cm="1">
        <f t="array" ref="J59:O59">_xlfn.SEQUENCE(1,6,I59-1,(P59-I59)/6)</f>
        <v>203.97835695158508</v>
      </c>
      <c r="K59" s="4">
        <v>196.69457236869005</v>
      </c>
      <c r="L59" s="4">
        <v>189.41078778579501</v>
      </c>
      <c r="M59" s="4">
        <v>182.12700320289997</v>
      </c>
      <c r="N59" s="4">
        <v>174.84321862000493</v>
      </c>
      <c r="O59" s="4">
        <v>167.5594340371099</v>
      </c>
      <c r="P59" s="4">
        <v>161.27564945421491</v>
      </c>
      <c r="Q59" s="4">
        <v>153.21088426554272</v>
      </c>
      <c r="R59" s="4">
        <v>36.849025506425917</v>
      </c>
      <c r="S59" s="4" cm="1">
        <f t="array" ref="S59:X59">_xlfn.SEQUENCE(1,6,R59-1,(Y59-R59)/6)</f>
        <v>35.849025506425917</v>
      </c>
      <c r="T59" s="4">
        <v>31.865797539452895</v>
      </c>
      <c r="U59" s="4">
        <v>27.882569572479873</v>
      </c>
      <c r="V59" s="4">
        <v>23.899341605506851</v>
      </c>
      <c r="W59" s="4">
        <v>19.91611363853383</v>
      </c>
      <c r="X59" s="4">
        <v>15.932885671560806</v>
      </c>
      <c r="Y59" s="4">
        <v>12.949657704587779</v>
      </c>
      <c r="Z59" s="4">
        <v>8.041212160612524</v>
      </c>
      <c r="AA59" s="4">
        <f>[11]Alfa!$F$16</f>
        <v>0.20355963302752292</v>
      </c>
      <c r="AB59" s="4">
        <v>500</v>
      </c>
      <c r="AC59" s="4">
        <v>100</v>
      </c>
      <c r="AD59" s="4">
        <v>500</v>
      </c>
      <c r="AE59" s="4">
        <v>7.6</v>
      </c>
      <c r="AF59" s="4">
        <v>205</v>
      </c>
    </row>
    <row r="60" spans="1:32" x14ac:dyDescent="0.3">
      <c r="A60" s="4">
        <v>28.428583260861259</v>
      </c>
      <c r="B60" s="4" cm="1">
        <f t="array" ref="B60:G60">_xlfn.SEQUENCE(1,6,A60-1,(H60-A60)/6)</f>
        <v>27.428583260861259</v>
      </c>
      <c r="C60" s="4">
        <v>25.24088864433531</v>
      </c>
      <c r="D60" s="4">
        <v>23.053194027809361</v>
      </c>
      <c r="E60" s="4">
        <v>20.865499411283412</v>
      </c>
      <c r="F60" s="4">
        <v>18.677804794757463</v>
      </c>
      <c r="G60" s="4">
        <v>16.490110178231514</v>
      </c>
      <c r="H60" s="4">
        <v>15.302415561705565</v>
      </c>
      <c r="I60" s="4">
        <v>84.360302906227631</v>
      </c>
      <c r="J60" s="4" cm="1">
        <f t="array" ref="J60:O60">_xlfn.SEQUENCE(1,6,I60-1,(P60-I60)/6)</f>
        <v>83.360302906227631</v>
      </c>
      <c r="K60" s="4">
        <v>79.776398854503725</v>
      </c>
      <c r="L60" s="4">
        <v>76.192494802779805</v>
      </c>
      <c r="M60" s="4">
        <v>72.608590751055885</v>
      </c>
      <c r="N60" s="4">
        <v>69.024686699331966</v>
      </c>
      <c r="O60" s="4">
        <v>65.440782647608046</v>
      </c>
      <c r="P60" s="4">
        <v>62.856878595884154</v>
      </c>
      <c r="Q60" s="4">
        <v>60.234456262756559</v>
      </c>
      <c r="R60" s="4">
        <v>17.425909758186322</v>
      </c>
      <c r="S60" s="4" cm="1">
        <f t="array" ref="S60:X60">_xlfn.SEQUENCE(1,6,R60-1,(Y60-R60)/6)</f>
        <v>16.425909758186322</v>
      </c>
      <c r="T60" s="4">
        <v>14.965977151250467</v>
      </c>
      <c r="U60" s="4">
        <v>13.506044544314612</v>
      </c>
      <c r="V60" s="4">
        <v>12.046111937378758</v>
      </c>
      <c r="W60" s="4">
        <v>10.586179330442903</v>
      </c>
      <c r="X60" s="4">
        <v>9.1262467235070481</v>
      </c>
      <c r="Y60" s="4">
        <v>8.666314116571197</v>
      </c>
      <c r="Z60" s="4">
        <v>7.3563200334144643</v>
      </c>
      <c r="AA60" s="4">
        <f>[12]Alfa!$F$16</f>
        <v>0.19089130434782609</v>
      </c>
      <c r="AB60" s="4">
        <v>197</v>
      </c>
      <c r="AC60" s="4">
        <v>39</v>
      </c>
      <c r="AD60" s="4">
        <v>786</v>
      </c>
      <c r="AE60" s="4">
        <v>7.2</v>
      </c>
      <c r="AF60" s="4">
        <v>85</v>
      </c>
    </row>
    <row r="61" spans="1:32" x14ac:dyDescent="0.3">
      <c r="A61" s="4">
        <v>31.37164610841948</v>
      </c>
      <c r="B61" s="4" cm="1">
        <f t="array" ref="B61:G61">_xlfn.SEQUENCE(1,6,A61-1,(H61-A61)/6)</f>
        <v>30.37164610841948</v>
      </c>
      <c r="C61" s="4">
        <v>28.310142083936899</v>
      </c>
      <c r="D61" s="4">
        <v>26.248638059454318</v>
      </c>
      <c r="E61" s="4">
        <v>24.187134034971738</v>
      </c>
      <c r="F61" s="4">
        <v>22.125630010489157</v>
      </c>
      <c r="G61" s="4">
        <v>20.064125986006577</v>
      </c>
      <c r="H61" s="4">
        <v>19.002621961523996</v>
      </c>
      <c r="I61" s="4">
        <v>143.76605911557212</v>
      </c>
      <c r="J61" s="4" cm="1">
        <f t="array" ref="J61:O61">_xlfn.SEQUENCE(1,6,I61-1,(P61-I61)/6)</f>
        <v>142.76605911557212</v>
      </c>
      <c r="K61" s="4">
        <v>135.77253722642592</v>
      </c>
      <c r="L61" s="4">
        <v>128.77901533727973</v>
      </c>
      <c r="M61" s="4">
        <v>121.78549344813354</v>
      </c>
      <c r="N61" s="4">
        <v>114.79197155898734</v>
      </c>
      <c r="O61" s="4">
        <v>107.79844966984115</v>
      </c>
      <c r="P61" s="4">
        <v>101.80492778069492</v>
      </c>
      <c r="Q61" s="4">
        <v>97.248088135613671</v>
      </c>
      <c r="R61" s="4">
        <v>18.722418090761057</v>
      </c>
      <c r="S61" s="4" cm="1">
        <f t="array" ref="S61:X61">_xlfn.SEQUENCE(1,6,R61-1,(Y61-R61)/6)</f>
        <v>17.722418090761057</v>
      </c>
      <c r="T61" s="4">
        <v>16.068940399554556</v>
      </c>
      <c r="U61" s="4">
        <v>14.415462708348056</v>
      </c>
      <c r="V61" s="4">
        <v>12.761985017141555</v>
      </c>
      <c r="W61" s="4">
        <v>11.108507325935054</v>
      </c>
      <c r="X61" s="4">
        <v>9.4550296347285538</v>
      </c>
      <c r="Y61" s="4">
        <v>8.8015519435220568</v>
      </c>
      <c r="Z61" s="4">
        <v>7.0469674903951329</v>
      </c>
      <c r="AA61" s="4">
        <f>[13]Alfa!$F$16</f>
        <v>0.22193406593406595</v>
      </c>
      <c r="AB61" s="4">
        <v>221</v>
      </c>
      <c r="AC61" s="4">
        <v>44</v>
      </c>
      <c r="AD61" s="4">
        <v>895</v>
      </c>
      <c r="AE61" s="4">
        <v>6.8</v>
      </c>
      <c r="AF61" s="4">
        <v>145</v>
      </c>
    </row>
    <row r="62" spans="1:32" x14ac:dyDescent="0.3">
      <c r="A62" s="4">
        <v>33.539055743594538</v>
      </c>
      <c r="B62" s="4" cm="1">
        <f t="array" ref="B62:G62">_xlfn.SEQUENCE(1,6,A62-1,(H62-A62)/6)</f>
        <v>32.539055743594538</v>
      </c>
      <c r="C62" s="4">
        <v>29.88161507532692</v>
      </c>
      <c r="D62" s="4">
        <v>27.224174407059301</v>
      </c>
      <c r="E62" s="4">
        <v>24.566733738791683</v>
      </c>
      <c r="F62" s="4">
        <v>21.909293070524065</v>
      </c>
      <c r="G62" s="4">
        <v>19.251852402256446</v>
      </c>
      <c r="H62" s="4">
        <v>17.594411733988824</v>
      </c>
      <c r="I62" s="4">
        <v>204.75645177716919</v>
      </c>
      <c r="J62" s="4" cm="1">
        <f t="array" ref="J62:O62">_xlfn.SEQUENCE(1,6,I62-1,(P62-I62)/6)</f>
        <v>203.75645177716919</v>
      </c>
      <c r="K62" s="4">
        <v>193.4476000230799</v>
      </c>
      <c r="L62" s="4">
        <v>183.13874826899061</v>
      </c>
      <c r="M62" s="4">
        <v>172.82989651490132</v>
      </c>
      <c r="N62" s="4">
        <v>162.52104476081203</v>
      </c>
      <c r="O62" s="4">
        <v>152.21219300672274</v>
      </c>
      <c r="P62" s="4">
        <v>142.9033412526334</v>
      </c>
      <c r="Q62" s="4">
        <v>133.79401274463967</v>
      </c>
      <c r="R62" s="4">
        <v>20.461910760154922</v>
      </c>
      <c r="S62" s="4" cm="1">
        <f t="array" ref="S62:X62">_xlfn.SEQUENCE(1,6,R62-1,(Y62-R62)/6)</f>
        <v>19.461910760154922</v>
      </c>
      <c r="T62" s="4">
        <v>17.617597162727737</v>
      </c>
      <c r="U62" s="4">
        <v>15.773283565300552</v>
      </c>
      <c r="V62" s="4">
        <v>13.928969967873368</v>
      </c>
      <c r="W62" s="4">
        <v>12.084656370446183</v>
      </c>
      <c r="X62" s="4">
        <v>10.240342773018998</v>
      </c>
      <c r="Y62" s="4">
        <v>9.3960291755918135</v>
      </c>
      <c r="Z62" s="4">
        <v>7.6717226984412186</v>
      </c>
      <c r="AA62" s="4">
        <f>[14]Alfa!$F$16</f>
        <v>0.21759999999999999</v>
      </c>
      <c r="AB62" s="4">
        <v>250</v>
      </c>
      <c r="AC62" s="4">
        <v>50</v>
      </c>
      <c r="AD62" s="4">
        <v>1002</v>
      </c>
      <c r="AE62" s="4">
        <v>7.5</v>
      </c>
      <c r="AF62" s="4">
        <v>205</v>
      </c>
    </row>
    <row r="63" spans="1:32" x14ac:dyDescent="0.3">
      <c r="A63" s="4">
        <v>34.077727856233388</v>
      </c>
      <c r="B63" s="4" cm="1">
        <f t="array" ref="B63:G63">_xlfn.SEQUENCE(1,6,A63-1,(H63-A63)/6)</f>
        <v>33.077727856233388</v>
      </c>
      <c r="C63" s="4">
        <v>30.068429229769613</v>
      </c>
      <c r="D63" s="4">
        <v>27.059130603305839</v>
      </c>
      <c r="E63" s="4">
        <v>24.049831976842064</v>
      </c>
      <c r="F63" s="4">
        <v>21.04053335037829</v>
      </c>
      <c r="G63" s="4">
        <v>18.031234723914515</v>
      </c>
      <c r="H63" s="4">
        <v>16.021936097450737</v>
      </c>
      <c r="I63" s="4">
        <v>84.030849702282509</v>
      </c>
      <c r="J63" s="4" cm="1">
        <f t="array" ref="J63:O63">_xlfn.SEQUENCE(1,6,I63-1,(P63-I63)/6)</f>
        <v>83.030849702282509</v>
      </c>
      <c r="K63" s="4">
        <v>79.043992561955079</v>
      </c>
      <c r="L63" s="4">
        <v>75.057135421627649</v>
      </c>
      <c r="M63" s="4">
        <v>71.070278281300219</v>
      </c>
      <c r="N63" s="4">
        <v>67.083421140972789</v>
      </c>
      <c r="O63" s="4">
        <v>63.096564000645358</v>
      </c>
      <c r="P63" s="4">
        <v>60.109706860317942</v>
      </c>
      <c r="Q63" s="4">
        <v>56.422229926362739</v>
      </c>
      <c r="R63" s="4">
        <v>21.041767663218184</v>
      </c>
      <c r="S63" s="4" cm="1">
        <f t="array" ref="S63:X63">_xlfn.SEQUENCE(1,6,R63-1,(Y63-R63)/6)</f>
        <v>20.041767663218184</v>
      </c>
      <c r="T63" s="4">
        <v>18.045163379748494</v>
      </c>
      <c r="U63" s="4">
        <v>16.048559096278805</v>
      </c>
      <c r="V63" s="4">
        <v>14.051954812809115</v>
      </c>
      <c r="W63" s="4">
        <v>12.055350529339425</v>
      </c>
      <c r="X63" s="4">
        <v>10.058746245869735</v>
      </c>
      <c r="Y63" s="4">
        <v>9.0621419624000481</v>
      </c>
      <c r="Z63" s="4">
        <v>7.2812426631322111</v>
      </c>
      <c r="AA63" s="4">
        <f>[15]Alfa!$F$16</f>
        <v>0.18046153846153848</v>
      </c>
      <c r="AB63" s="4">
        <v>119</v>
      </c>
      <c r="AC63" s="4">
        <v>23</v>
      </c>
      <c r="AD63" s="4">
        <v>477</v>
      </c>
      <c r="AE63" s="4">
        <v>7.2</v>
      </c>
      <c r="AF63" s="4">
        <v>85</v>
      </c>
    </row>
    <row r="64" spans="1:32" x14ac:dyDescent="0.3">
      <c r="A64" s="4">
        <v>37.869937392334577</v>
      </c>
      <c r="B64" s="4" cm="1">
        <f t="array" ref="B64:G64">_xlfn.SEQUENCE(1,6,A64-1,(H64-A64)/6)</f>
        <v>36.869937392334577</v>
      </c>
      <c r="C64" s="4">
        <v>33.38652111738201</v>
      </c>
      <c r="D64" s="4">
        <v>29.903104842429443</v>
      </c>
      <c r="E64" s="4">
        <v>26.419688567476875</v>
      </c>
      <c r="F64" s="4">
        <v>22.936272292524308</v>
      </c>
      <c r="G64" s="4">
        <v>19.45285601757174</v>
      </c>
      <c r="H64" s="4">
        <v>16.969439742619162</v>
      </c>
      <c r="I64" s="4">
        <v>142.71559631224923</v>
      </c>
      <c r="J64" s="4" cm="1">
        <f t="array" ref="J64:O64">_xlfn.SEQUENCE(1,6,I64-1,(P64-I64)/6)</f>
        <v>141.71559631224923</v>
      </c>
      <c r="K64" s="4">
        <v>133.7315656620178</v>
      </c>
      <c r="L64" s="4">
        <v>125.74753501178637</v>
      </c>
      <c r="M64" s="4">
        <v>117.76350436155494</v>
      </c>
      <c r="N64" s="4">
        <v>109.7794737113235</v>
      </c>
      <c r="O64" s="4">
        <v>101.79544306109207</v>
      </c>
      <c r="P64" s="4">
        <v>94.811412410860669</v>
      </c>
      <c r="Q64" s="4">
        <v>89.507156216244582</v>
      </c>
      <c r="R64" s="4">
        <v>23.2121106497125</v>
      </c>
      <c r="S64" s="4" cm="1">
        <f t="array" ref="S64:X64">_xlfn.SEQUENCE(1,6,R64-1,(Y64-R64)/6)</f>
        <v>22.2121106497125</v>
      </c>
      <c r="T64" s="4">
        <v>19.935469816365323</v>
      </c>
      <c r="U64" s="4">
        <v>17.658828983018147</v>
      </c>
      <c r="V64" s="4">
        <v>15.382188149670972</v>
      </c>
      <c r="W64" s="4">
        <v>13.105547316323797</v>
      </c>
      <c r="X64" s="4">
        <v>10.828906482976622</v>
      </c>
      <c r="Y64" s="4">
        <v>9.5522656496294491</v>
      </c>
      <c r="Z64" s="4">
        <v>7.5788343843071964</v>
      </c>
      <c r="AA64" s="4">
        <f>[16]Alfa!$F$16</f>
        <v>0.18977049180327871</v>
      </c>
      <c r="AB64" s="4">
        <v>134</v>
      </c>
      <c r="AC64" s="4">
        <v>27</v>
      </c>
      <c r="AD64" s="4">
        <v>537</v>
      </c>
      <c r="AE64" s="4">
        <v>7.4</v>
      </c>
      <c r="AF64" s="4">
        <v>145</v>
      </c>
    </row>
    <row r="65" spans="1:32" x14ac:dyDescent="0.3">
      <c r="A65" s="4">
        <v>39.155176926651869</v>
      </c>
      <c r="B65" s="4" cm="1">
        <f t="array" ref="B65:G65">_xlfn.SEQUENCE(1,6,A65-1,(H65-A65)/6)</f>
        <v>38.155176926651869</v>
      </c>
      <c r="C65" s="4">
        <v>34.476984954234318</v>
      </c>
      <c r="D65" s="4">
        <v>30.798792981816767</v>
      </c>
      <c r="E65" s="4">
        <v>27.120601009399216</v>
      </c>
      <c r="F65" s="4">
        <v>23.442409036981665</v>
      </c>
      <c r="G65" s="4">
        <v>19.764217064564114</v>
      </c>
      <c r="H65" s="4">
        <v>17.08602509214656</v>
      </c>
      <c r="I65" s="4">
        <v>204.38615683924391</v>
      </c>
      <c r="J65" s="4" cm="1">
        <f t="array" ref="J65:O65">_xlfn.SEQUENCE(1,6,I65-1,(P65-I65)/6)</f>
        <v>203.38615683924391</v>
      </c>
      <c r="K65" s="4">
        <v>191.33760208853778</v>
      </c>
      <c r="L65" s="4">
        <v>179.28904733783165</v>
      </c>
      <c r="M65" s="4">
        <v>167.24049258712552</v>
      </c>
      <c r="N65" s="4">
        <v>155.19193783641938</v>
      </c>
      <c r="O65" s="4">
        <v>143.14338308571325</v>
      </c>
      <c r="P65" s="4">
        <v>132.09482833500709</v>
      </c>
      <c r="Q65" s="4">
        <v>123.93898253048216</v>
      </c>
      <c r="R65" s="4">
        <v>23.794619064227181</v>
      </c>
      <c r="S65" s="4" cm="1">
        <f t="array" ref="S65:X65">_xlfn.SEQUENCE(1,6,R65-1,(Y65-R65)/6)</f>
        <v>22.794619064227181</v>
      </c>
      <c r="T65" s="4">
        <v>20.427619378350748</v>
      </c>
      <c r="U65" s="4">
        <v>18.060619692474315</v>
      </c>
      <c r="V65" s="4">
        <v>15.693620006597884</v>
      </c>
      <c r="W65" s="4">
        <v>13.326620320721453</v>
      </c>
      <c r="X65" s="4">
        <v>10.959620634845022</v>
      </c>
      <c r="Y65" s="4">
        <v>9.592620948968591</v>
      </c>
      <c r="Z65" s="4">
        <v>7.4718654842174423</v>
      </c>
      <c r="AA65" s="4">
        <f>[17]Alfa!$F$16</f>
        <v>0.1858342541436464</v>
      </c>
      <c r="AB65" s="4">
        <v>149</v>
      </c>
      <c r="AC65" s="4">
        <v>30</v>
      </c>
      <c r="AD65" s="4">
        <v>600</v>
      </c>
      <c r="AE65" s="4">
        <v>6.8</v>
      </c>
      <c r="AF65" s="4">
        <v>205</v>
      </c>
    </row>
    <row r="66" spans="1:32" x14ac:dyDescent="0.3">
      <c r="A66" s="4">
        <v>25.414617639520362</v>
      </c>
      <c r="B66" s="4" cm="1">
        <f t="array" ref="B66:G66">_xlfn.SEQUENCE(1,6,A66-1,(H66-A66)/6)</f>
        <v>24.414617639520362</v>
      </c>
      <c r="C66" s="4">
        <v>22.347856338025615</v>
      </c>
      <c r="D66" s="4">
        <v>20.281095036530868</v>
      </c>
      <c r="E66" s="4">
        <v>18.214333735036121</v>
      </c>
      <c r="F66" s="4">
        <v>16.147572433541374</v>
      </c>
      <c r="G66" s="4">
        <v>14.080811132046628</v>
      </c>
      <c r="H66" s="4">
        <v>13.014049830551887</v>
      </c>
      <c r="I66" s="4">
        <v>84.051336698469996</v>
      </c>
      <c r="J66" s="4" cm="1">
        <f t="array" ref="J66:O66">_xlfn.SEQUENCE(1,6,I66-1,(P66-I66)/6)</f>
        <v>83.051336698469996</v>
      </c>
      <c r="K66" s="4">
        <v>80.523444700380935</v>
      </c>
      <c r="L66" s="4">
        <v>77.995552702291874</v>
      </c>
      <c r="M66" s="4">
        <v>75.467660704202814</v>
      </c>
      <c r="N66" s="4">
        <v>72.939768706113753</v>
      </c>
      <c r="O66" s="4">
        <v>70.411876708024693</v>
      </c>
      <c r="P66" s="4">
        <v>68.88398470993566</v>
      </c>
      <c r="Q66" s="4">
        <v>66.801330505105057</v>
      </c>
      <c r="R66" s="4">
        <v>16.382112731347831</v>
      </c>
      <c r="S66" s="4" cm="1">
        <f t="array" ref="S66:X66">_xlfn.SEQUENCE(1,6,R66-1,(Y66-R66)/6)</f>
        <v>15.382112731347831</v>
      </c>
      <c r="T66" s="4">
        <v>14.118739069965788</v>
      </c>
      <c r="U66" s="4">
        <v>12.855365408583744</v>
      </c>
      <c r="V66" s="4">
        <v>11.5919917472017</v>
      </c>
      <c r="W66" s="4">
        <v>10.328618085819656</v>
      </c>
      <c r="X66" s="4">
        <v>9.065244424437612</v>
      </c>
      <c r="Y66" s="4">
        <v>8.8018707630555681</v>
      </c>
      <c r="Z66" s="4">
        <v>7.7536807216096975</v>
      </c>
      <c r="AA66" s="4">
        <f>[18]Alfa!$F$16</f>
        <v>0.33119999999999994</v>
      </c>
      <c r="AB66" s="9">
        <v>400</v>
      </c>
      <c r="AC66" s="4">
        <v>80</v>
      </c>
      <c r="AD66" s="9">
        <v>1580</v>
      </c>
      <c r="AE66" s="4">
        <v>7.6</v>
      </c>
      <c r="AF66" s="9">
        <v>85</v>
      </c>
    </row>
    <row r="67" spans="1:32" x14ac:dyDescent="0.3">
      <c r="A67" s="4">
        <v>28.569324702796695</v>
      </c>
      <c r="B67" s="4" cm="1">
        <f t="array" ref="B67:G67">_xlfn.SEQUENCE(1,6,A67-1,(H67-A67)/6)</f>
        <v>27.569324702796695</v>
      </c>
      <c r="C67" s="4">
        <v>25.116813247635637</v>
      </c>
      <c r="D67" s="4">
        <v>22.664301792474578</v>
      </c>
      <c r="E67" s="4">
        <v>20.21179033731352</v>
      </c>
      <c r="F67" s="4">
        <v>17.759278882152461</v>
      </c>
      <c r="G67" s="4">
        <v>15.306767426991401</v>
      </c>
      <c r="H67" s="4">
        <v>13.854255971830337</v>
      </c>
      <c r="I67" s="4">
        <v>143.50626936806222</v>
      </c>
      <c r="J67" s="4" cm="1">
        <f t="array" ref="J67:O67">_xlfn.SEQUENCE(1,6,I67-1,(P67-I67)/6)</f>
        <v>142.50626936806222</v>
      </c>
      <c r="K67" s="4">
        <v>137.35746290908492</v>
      </c>
      <c r="L67" s="4">
        <v>132.20865645010761</v>
      </c>
      <c r="M67" s="4">
        <v>127.05984999113032</v>
      </c>
      <c r="N67" s="4">
        <v>121.91104353215303</v>
      </c>
      <c r="O67" s="4">
        <v>116.76223707317574</v>
      </c>
      <c r="P67" s="4">
        <v>112.61343061419846</v>
      </c>
      <c r="Q67" s="4">
        <v>108.13592782139858</v>
      </c>
      <c r="R67" s="4">
        <v>18.163772365498104</v>
      </c>
      <c r="S67" s="4" cm="1">
        <f t="array" ref="S67:X67">_xlfn.SEQUENCE(1,6,R67-1,(Y67-R67)/6)</f>
        <v>17.163772365498104</v>
      </c>
      <c r="T67" s="4">
        <v>15.600353634009284</v>
      </c>
      <c r="U67" s="4">
        <v>14.036934902520464</v>
      </c>
      <c r="V67" s="4">
        <v>12.473516171031644</v>
      </c>
      <c r="W67" s="4">
        <v>10.910097439542824</v>
      </c>
      <c r="X67" s="4">
        <v>9.3466787080540037</v>
      </c>
      <c r="Y67" s="4">
        <v>8.7832599765651871</v>
      </c>
      <c r="Z67" s="4">
        <v>7.3927321099699608</v>
      </c>
      <c r="AA67" s="4">
        <f>[19]Alfa!$F$16</f>
        <v>0.3503</v>
      </c>
      <c r="AB67" s="4">
        <v>450</v>
      </c>
      <c r="AC67" s="4">
        <v>90</v>
      </c>
      <c r="AD67" s="4">
        <v>1580</v>
      </c>
      <c r="AE67" s="4">
        <v>7.2</v>
      </c>
      <c r="AF67" s="4">
        <v>145</v>
      </c>
    </row>
    <row r="68" spans="1:32" x14ac:dyDescent="0.3">
      <c r="A68" s="4">
        <v>40.63553573618622</v>
      </c>
      <c r="B68" s="4" cm="1">
        <f t="array" ref="B68:G68">_xlfn.SEQUENCE(1,6,A68-1,(H68-A68)/6)</f>
        <v>39.63553573618622</v>
      </c>
      <c r="C68" s="4">
        <v>36.228862852185976</v>
      </c>
      <c r="D68" s="4">
        <v>32.822189968185732</v>
      </c>
      <c r="E68" s="4">
        <v>29.415517084185492</v>
      </c>
      <c r="F68" s="4">
        <v>26.008844200185251</v>
      </c>
      <c r="G68" s="4">
        <v>22.602171316185011</v>
      </c>
      <c r="H68" s="4">
        <v>20.195498432184774</v>
      </c>
      <c r="I68" s="4">
        <v>83.480642177927805</v>
      </c>
      <c r="J68" s="4" cm="1">
        <f t="array" ref="J68:O68">_xlfn.SEQUENCE(1,6,I68-1,(P68-I68)/6)</f>
        <v>82.480642177927805</v>
      </c>
      <c r="K68" s="4">
        <v>78.92341814467278</v>
      </c>
      <c r="L68" s="4">
        <v>75.366194111417755</v>
      </c>
      <c r="M68" s="4">
        <v>71.80897007816273</v>
      </c>
      <c r="N68" s="4">
        <v>68.251746044907705</v>
      </c>
      <c r="O68" s="4">
        <v>64.69452201165268</v>
      </c>
      <c r="P68" s="4">
        <v>62.137297978397619</v>
      </c>
      <c r="Q68" s="4">
        <v>59.33450256400058</v>
      </c>
      <c r="R68" s="4">
        <v>26.317102416762296</v>
      </c>
      <c r="S68" s="4" cm="1">
        <f t="array" ref="S68:X68">_xlfn.SEQUENCE(1,6,R68-1,(Y68-R68)/6)</f>
        <v>25.317102416762296</v>
      </c>
      <c r="T68" s="4">
        <v>22.566825412356643</v>
      </c>
      <c r="U68" s="4">
        <v>19.816548407950989</v>
      </c>
      <c r="V68" s="4">
        <v>17.066271403545336</v>
      </c>
      <c r="W68" s="4">
        <v>14.315994399139683</v>
      </c>
      <c r="X68" s="4">
        <v>11.56571739473403</v>
      </c>
      <c r="Y68" s="4">
        <v>9.8154403903283765</v>
      </c>
      <c r="Z68" s="4">
        <v>7.3780034844850455</v>
      </c>
      <c r="AA68" s="4">
        <f>[20]Alfa!$F$16</f>
        <v>0.17775824175824176</v>
      </c>
      <c r="AB68" s="4">
        <v>119</v>
      </c>
      <c r="AC68" s="4">
        <v>23</v>
      </c>
      <c r="AD68" s="4">
        <v>360</v>
      </c>
      <c r="AE68" s="4">
        <v>7.1</v>
      </c>
      <c r="AF68" s="4">
        <v>85</v>
      </c>
    </row>
    <row r="69" spans="1:32" x14ac:dyDescent="0.3">
      <c r="A69" s="4">
        <v>42.07061711482244</v>
      </c>
      <c r="B69" s="4" cm="1">
        <f t="array" ref="B69:G69">_xlfn.SEQUENCE(1,6,A69-1,(H69-A69)/6)</f>
        <v>41.07061711482244</v>
      </c>
      <c r="C69" s="4">
        <v>37.404560573272974</v>
      </c>
      <c r="D69" s="4">
        <v>33.738504031723508</v>
      </c>
      <c r="E69" s="4">
        <v>30.072447490174039</v>
      </c>
      <c r="F69" s="4">
        <v>26.406390948624569</v>
      </c>
      <c r="G69" s="4">
        <v>22.7403344070751</v>
      </c>
      <c r="H69" s="4">
        <v>20.07427786552563</v>
      </c>
      <c r="I69" s="4">
        <v>143.71723808422772</v>
      </c>
      <c r="J69" s="4" cm="1">
        <f t="array" ref="J69:O69">_xlfn.SEQUENCE(1,6,I69-1,(P69-I69)/6)</f>
        <v>142.71723808422772</v>
      </c>
      <c r="K69" s="4">
        <v>134.73924866444435</v>
      </c>
      <c r="L69" s="4">
        <v>126.76125924466098</v>
      </c>
      <c r="M69" s="4">
        <v>118.78326982487761</v>
      </c>
      <c r="N69" s="4">
        <v>110.80528040509424</v>
      </c>
      <c r="O69" s="4">
        <v>102.82729098531087</v>
      </c>
      <c r="P69" s="4">
        <v>95.84930156552754</v>
      </c>
      <c r="Q69" s="4">
        <v>90.492683140187253</v>
      </c>
      <c r="R69" s="4">
        <v>26.820340802714338</v>
      </c>
      <c r="S69" s="4" cm="1">
        <f t="array" ref="S69:X69">_xlfn.SEQUENCE(1,6,R69-1,(Y69-R69)/6)</f>
        <v>25.820340802714338</v>
      </c>
      <c r="T69" s="4">
        <v>23.041965588164757</v>
      </c>
      <c r="U69" s="4">
        <v>20.263590373615177</v>
      </c>
      <c r="V69" s="4">
        <v>17.485215159065596</v>
      </c>
      <c r="W69" s="4">
        <v>14.706839944516018</v>
      </c>
      <c r="X69" s="4">
        <v>11.928464729966439</v>
      </c>
      <c r="Y69" s="4">
        <v>10.150089515416862</v>
      </c>
      <c r="Z69" s="4">
        <v>7.4086568526377938</v>
      </c>
      <c r="AA69" s="4">
        <f>[21]Alfa!$F$16</f>
        <v>0.17757377049180328</v>
      </c>
      <c r="AB69" s="4">
        <v>134</v>
      </c>
      <c r="AC69" s="4">
        <v>27</v>
      </c>
      <c r="AD69" s="4">
        <v>402</v>
      </c>
      <c r="AE69" s="4">
        <v>7.1</v>
      </c>
      <c r="AF69" s="4">
        <v>145</v>
      </c>
    </row>
    <row r="70" spans="1:32" x14ac:dyDescent="0.3">
      <c r="A70" s="4">
        <v>45.452134434829013</v>
      </c>
      <c r="B70" s="4" cm="1">
        <f t="array" ref="B70:G70">_xlfn.SEQUENCE(1,6,A70-1,(H70-A70)/6)</f>
        <v>44.452134434829013</v>
      </c>
      <c r="C70" s="4">
        <v>40.467171476274906</v>
      </c>
      <c r="D70" s="4">
        <v>36.4822085177208</v>
      </c>
      <c r="E70" s="4">
        <v>32.497245559166693</v>
      </c>
      <c r="F70" s="4">
        <v>28.512282600612586</v>
      </c>
      <c r="G70" s="4">
        <v>24.52731964205848</v>
      </c>
      <c r="H70" s="4">
        <v>21.54235668350438</v>
      </c>
      <c r="I70" s="4">
        <v>204.92857884161126</v>
      </c>
      <c r="J70" s="4" cm="1">
        <f t="array" ref="J70:O70">_xlfn.SEQUENCE(1,6,I70-1,(P70-I70)/6)</f>
        <v>203.92857884161126</v>
      </c>
      <c r="K70" s="4">
        <v>191.89248252033579</v>
      </c>
      <c r="L70" s="4">
        <v>179.85638619906032</v>
      </c>
      <c r="M70" s="4">
        <v>167.82028987778486</v>
      </c>
      <c r="N70" s="4">
        <v>155.78419355650939</v>
      </c>
      <c r="O70" s="4">
        <v>143.74809723523393</v>
      </c>
      <c r="P70" s="4">
        <v>132.71200091395849</v>
      </c>
      <c r="Q70" s="4">
        <v>124.12939735992616</v>
      </c>
      <c r="R70" s="4">
        <v>29.255026286832376</v>
      </c>
      <c r="S70" s="4" cm="1">
        <f t="array" ref="S70:X70">_xlfn.SEQUENCE(1,6,R70-1,(Y70-R70)/6)</f>
        <v>28.255026286832376</v>
      </c>
      <c r="T70" s="4">
        <v>25.159974450567386</v>
      </c>
      <c r="U70" s="4">
        <v>22.064922614302397</v>
      </c>
      <c r="V70" s="4">
        <v>18.969870778037407</v>
      </c>
      <c r="W70" s="4">
        <v>15.874818941772418</v>
      </c>
      <c r="X70" s="4">
        <v>12.779767105507428</v>
      </c>
      <c r="Y70" s="4">
        <v>10.684715269242439</v>
      </c>
      <c r="Z70" s="4">
        <v>7.5737679383517289</v>
      </c>
      <c r="AA70" s="4">
        <f>[22]Alfa!$F$16</f>
        <v>0.17799999999999999</v>
      </c>
      <c r="AB70" s="4">
        <v>149</v>
      </c>
      <c r="AC70" s="4">
        <v>30</v>
      </c>
      <c r="AD70" s="4">
        <v>450</v>
      </c>
      <c r="AE70" s="4">
        <v>7.2</v>
      </c>
      <c r="AF70" s="4">
        <v>205</v>
      </c>
    </row>
    <row r="71" spans="1:32" x14ac:dyDescent="0.3">
      <c r="A71" s="4">
        <v>31.05960548277837</v>
      </c>
      <c r="B71" s="4" cm="1">
        <f t="array" ref="B71:G71">_xlfn.SEQUENCE(1,6,A71-1,(H71-A71)/6)</f>
        <v>30.05960548277837</v>
      </c>
      <c r="C71" s="4">
        <v>27.688925835798315</v>
      </c>
      <c r="D71" s="4">
        <v>25.318246188818261</v>
      </c>
      <c r="E71" s="4">
        <v>22.947566541838206</v>
      </c>
      <c r="F71" s="4">
        <v>20.576886894858152</v>
      </c>
      <c r="G71" s="4">
        <v>18.206207247878098</v>
      </c>
      <c r="H71" s="4">
        <v>16.835527600898043</v>
      </c>
      <c r="I71" s="4">
        <v>84.784445670379895</v>
      </c>
      <c r="J71" s="4" cm="1">
        <f t="array" ref="J71:O71">_xlfn.SEQUENCE(1,6,I71-1,(P71-I71)/6)</f>
        <v>83.784445670379895</v>
      </c>
      <c r="K71" s="4">
        <v>80.192176497837266</v>
      </c>
      <c r="L71" s="4">
        <v>76.599907325294637</v>
      </c>
      <c r="M71" s="4">
        <v>73.007638152752008</v>
      </c>
      <c r="N71" s="4">
        <v>69.415368980209379</v>
      </c>
      <c r="O71" s="4">
        <v>65.82309980766675</v>
      </c>
      <c r="P71" s="4">
        <v>63.230830635124128</v>
      </c>
      <c r="Q71" s="4">
        <v>60.062106324402116</v>
      </c>
      <c r="R71" s="4">
        <v>19.413859476402223</v>
      </c>
      <c r="S71" s="4" cm="1">
        <f t="array" ref="S71:X71">_xlfn.SEQUENCE(1,6,R71-1,(Y71-R71)/6)</f>
        <v>18.413859476402223</v>
      </c>
      <c r="T71" s="4">
        <v>16.648675252066848</v>
      </c>
      <c r="U71" s="4">
        <v>14.883491027731475</v>
      </c>
      <c r="V71" s="4">
        <v>13.118306803396102</v>
      </c>
      <c r="W71" s="4">
        <v>11.353122579060729</v>
      </c>
      <c r="X71" s="4">
        <v>9.587938354725356</v>
      </c>
      <c r="Y71" s="4">
        <v>8.8227541303899812</v>
      </c>
      <c r="Z71" s="4">
        <v>7.1974489843932936</v>
      </c>
      <c r="AA71" s="4">
        <f>[23]Alfa!$F$16</f>
        <v>0.17986956521739134</v>
      </c>
      <c r="AB71" s="4">
        <v>197</v>
      </c>
      <c r="AC71" s="4">
        <v>39</v>
      </c>
      <c r="AD71" s="4">
        <v>588</v>
      </c>
      <c r="AE71" s="4">
        <v>7</v>
      </c>
      <c r="AF71" s="4">
        <v>85</v>
      </c>
    </row>
    <row r="72" spans="1:32" x14ac:dyDescent="0.3">
      <c r="A72" s="4">
        <v>35.007816767338007</v>
      </c>
      <c r="B72" s="4" cm="1">
        <f t="array" ref="B72:G72">_xlfn.SEQUENCE(1,6,A72-1,(H72-A72)/6)</f>
        <v>34.007816767338007</v>
      </c>
      <c r="C72" s="4">
        <v>31.50444325827042</v>
      </c>
      <c r="D72" s="4">
        <v>29.001069749202834</v>
      </c>
      <c r="E72" s="4">
        <v>26.497696240135248</v>
      </c>
      <c r="F72" s="4">
        <v>23.994322731067662</v>
      </c>
      <c r="G72" s="4">
        <v>21.490949222000076</v>
      </c>
      <c r="H72" s="4">
        <v>19.987575712932479</v>
      </c>
      <c r="I72" s="4">
        <v>144.53335054458341</v>
      </c>
      <c r="J72" s="4" cm="1">
        <f t="array" ref="J72:O72">_xlfn.SEQUENCE(1,6,I72-1,(P72-I72)/6)</f>
        <v>143.53335054458341</v>
      </c>
      <c r="K72" s="4">
        <v>136.39677129244029</v>
      </c>
      <c r="L72" s="4">
        <v>129.26019204029717</v>
      </c>
      <c r="M72" s="4">
        <v>122.12361278815405</v>
      </c>
      <c r="N72" s="4">
        <v>114.98703353601093</v>
      </c>
      <c r="O72" s="4">
        <v>107.8504542838678</v>
      </c>
      <c r="P72" s="4">
        <v>101.71387503172468</v>
      </c>
      <c r="Q72" s="4">
        <v>96.765843752342278</v>
      </c>
      <c r="R72" s="4">
        <v>21.283935791356154</v>
      </c>
      <c r="S72" s="4" cm="1">
        <f t="array" ref="S72:X72">_xlfn.SEQUENCE(1,6,R72-1,(Y72-R72)/6)</f>
        <v>20.283935791356154</v>
      </c>
      <c r="T72" s="4">
        <v>18.271303374085324</v>
      </c>
      <c r="U72" s="4">
        <v>16.258670956814495</v>
      </c>
      <c r="V72" s="4">
        <v>14.246038539543667</v>
      </c>
      <c r="W72" s="4">
        <v>12.233406122272839</v>
      </c>
      <c r="X72" s="4">
        <v>10.220773705002012</v>
      </c>
      <c r="Y72" s="4">
        <v>9.2081412877311841</v>
      </c>
      <c r="Z72" s="4">
        <v>7.2149149229384406</v>
      </c>
      <c r="AA72" s="4">
        <f>[24]Alfa!$F$16</f>
        <v>0.19549450549450548</v>
      </c>
      <c r="AB72" s="4">
        <v>221</v>
      </c>
      <c r="AC72" s="4">
        <v>44</v>
      </c>
      <c r="AD72" s="4">
        <v>663</v>
      </c>
      <c r="AE72" s="4">
        <v>7.1</v>
      </c>
      <c r="AF72" s="4">
        <v>145</v>
      </c>
    </row>
    <row r="73" spans="1:32" x14ac:dyDescent="0.3">
      <c r="A73" s="4">
        <v>38.577329366994299</v>
      </c>
      <c r="B73" s="4" cm="1">
        <f t="array" ref="B73:G73">_xlfn.SEQUENCE(1,6,A73-1,(H73-A73)/6)</f>
        <v>37.577329366994299</v>
      </c>
      <c r="C73" s="4">
        <v>34.247544175210201</v>
      </c>
      <c r="D73" s="4">
        <v>30.917758983426104</v>
      </c>
      <c r="E73" s="4">
        <v>27.587973791642007</v>
      </c>
      <c r="F73" s="4">
        <v>24.25818859985791</v>
      </c>
      <c r="G73" s="4">
        <v>20.928403408073812</v>
      </c>
      <c r="H73" s="4">
        <v>18.598618216289719</v>
      </c>
      <c r="I73" s="4">
        <v>204.12360969653739</v>
      </c>
      <c r="J73" s="4" cm="1">
        <f t="array" ref="J73:O73">_xlfn.SEQUENCE(1,6,I73-1,(P73-I73)/6)</f>
        <v>203.12360969653739</v>
      </c>
      <c r="K73" s="4">
        <v>193.09707692030159</v>
      </c>
      <c r="L73" s="4">
        <v>183.07054414406579</v>
      </c>
      <c r="M73" s="4">
        <v>173.04401136783</v>
      </c>
      <c r="N73" s="4">
        <v>163.0174785915942</v>
      </c>
      <c r="O73" s="4">
        <v>152.9909458153584</v>
      </c>
      <c r="P73" s="4">
        <v>143.96441303912266</v>
      </c>
      <c r="Q73" s="4">
        <v>136.80349537612628</v>
      </c>
      <c r="R73" s="4">
        <v>23.696639302519323</v>
      </c>
      <c r="S73" s="4" cm="1">
        <f t="array" ref="S73:X73">_xlfn.SEQUENCE(1,6,R73-1,(Y73-R73)/6)</f>
        <v>22.696639302519323</v>
      </c>
      <c r="T73" s="4">
        <v>20.320443022580402</v>
      </c>
      <c r="U73" s="4">
        <v>17.944246742641482</v>
      </c>
      <c r="V73" s="4">
        <v>15.568050462702562</v>
      </c>
      <c r="W73" s="4">
        <v>13.191854182763642</v>
      </c>
      <c r="X73" s="4">
        <v>10.815657902824722</v>
      </c>
      <c r="Y73" s="4">
        <v>9.4394616228857977</v>
      </c>
      <c r="Z73" s="4">
        <v>7.1056143242037706</v>
      </c>
      <c r="AA73" s="4">
        <f>[25]Alfa!$F$16</f>
        <v>0.22546666666666668</v>
      </c>
      <c r="AB73" s="4">
        <v>250</v>
      </c>
      <c r="AC73" s="4">
        <v>50</v>
      </c>
      <c r="AD73" s="4">
        <v>750</v>
      </c>
      <c r="AE73" s="4">
        <v>6.8</v>
      </c>
      <c r="AF73" s="4">
        <v>205</v>
      </c>
    </row>
    <row r="74" spans="1:32" x14ac:dyDescent="0.3">
      <c r="A74" s="4">
        <v>32.527116804037405</v>
      </c>
      <c r="B74" s="4" cm="1">
        <f t="array" ref="B74:G74">_xlfn.SEQUENCE(1,6,A74-1,(H74-A74)/6)</f>
        <v>31.527116804037405</v>
      </c>
      <c r="C74" s="4">
        <v>29.372856797311496</v>
      </c>
      <c r="D74" s="4">
        <v>27.218596790585586</v>
      </c>
      <c r="E74" s="4">
        <v>25.064336783859677</v>
      </c>
      <c r="F74" s="4">
        <v>22.910076777133767</v>
      </c>
      <c r="G74" s="4">
        <v>20.755816770407858</v>
      </c>
      <c r="H74" s="4">
        <v>19.601556763681948</v>
      </c>
      <c r="I74" s="4">
        <v>203.95066546168559</v>
      </c>
      <c r="J74" s="4" cm="1">
        <f t="array" ref="J74:O74">_xlfn.SEQUENCE(1,6,I74-1,(P74-I74)/6)</f>
        <v>202.95066546168559</v>
      </c>
      <c r="K74" s="4">
        <v>195.24163643478573</v>
      </c>
      <c r="L74" s="4">
        <v>187.53260740788588</v>
      </c>
      <c r="M74" s="4">
        <v>179.82357838098602</v>
      </c>
      <c r="N74" s="4">
        <v>172.11454935408617</v>
      </c>
      <c r="O74" s="4">
        <v>164.40552032718631</v>
      </c>
      <c r="P74" s="4">
        <v>157.69649130028651</v>
      </c>
      <c r="Q74" s="4">
        <v>152.14944269540482</v>
      </c>
      <c r="R74" s="4">
        <v>20.307231117807369</v>
      </c>
      <c r="S74" s="4" cm="1">
        <f t="array" ref="S74:X74">_xlfn.SEQUENCE(1,6,R74-1,(Y74-R74)/6)</f>
        <v>19.307231117807369</v>
      </c>
      <c r="T74" s="4">
        <v>17.487507242742822</v>
      </c>
      <c r="U74" s="4">
        <v>15.667783367678275</v>
      </c>
      <c r="V74" s="4">
        <v>13.848059492613729</v>
      </c>
      <c r="W74" s="4">
        <v>12.028335617549182</v>
      </c>
      <c r="X74" s="4">
        <v>10.208611742484635</v>
      </c>
      <c r="Y74" s="4">
        <v>9.3888878674200917</v>
      </c>
      <c r="Z74" s="4">
        <v>7.5445771954550587</v>
      </c>
      <c r="AA74" s="4">
        <f>[26]Alfa!$F$16</f>
        <v>0.32833333333333337</v>
      </c>
      <c r="AB74" s="4">
        <v>500</v>
      </c>
      <c r="AC74" s="4">
        <v>100</v>
      </c>
      <c r="AD74" s="4">
        <v>1500</v>
      </c>
      <c r="AE74" s="4">
        <v>7.3</v>
      </c>
      <c r="AF74" s="4">
        <v>205</v>
      </c>
    </row>
    <row r="75" spans="1:32" x14ac:dyDescent="0.3">
      <c r="A75" s="4">
        <v>28.768422363150279</v>
      </c>
      <c r="B75" s="4" cm="1">
        <f t="array" ref="B75:G75">_xlfn.SEQUENCE(1,6,A75-1,(H75-A75)/6)</f>
        <v>27.768422363150279</v>
      </c>
      <c r="C75" s="4">
        <v>25.216496856073661</v>
      </c>
      <c r="D75" s="4">
        <v>22.664571348997043</v>
      </c>
      <c r="E75" s="4">
        <v>20.112645841920425</v>
      </c>
      <c r="F75" s="4">
        <v>17.560720334843808</v>
      </c>
      <c r="G75" s="4">
        <v>15.008794827767188</v>
      </c>
      <c r="H75" s="4">
        <v>13.456869320690563</v>
      </c>
      <c r="I75" s="4">
        <v>83.662503378285749</v>
      </c>
      <c r="J75" s="4" cm="1">
        <f t="array" ref="J75:O75">_xlfn.SEQUENCE(1,6,I75-1,(P75-I75)/6)</f>
        <v>82.662503378285749</v>
      </c>
      <c r="K75" s="4">
        <v>80.174396312540637</v>
      </c>
      <c r="L75" s="4">
        <v>77.686289246795525</v>
      </c>
      <c r="M75" s="4">
        <v>75.198182181050413</v>
      </c>
      <c r="N75" s="4">
        <v>72.710075115305301</v>
      </c>
      <c r="O75" s="4">
        <v>70.221968049560189</v>
      </c>
      <c r="P75" s="4">
        <v>68.733860983815077</v>
      </c>
      <c r="Q75" s="4">
        <v>66.970341355971115</v>
      </c>
      <c r="R75" s="4">
        <v>18.174532179368793</v>
      </c>
      <c r="S75" s="4" cm="1">
        <f t="array" ref="S75:X75">_xlfn.SEQUENCE(1,6,R75-1,(Y75-R75)/6)</f>
        <v>17.174532179368793</v>
      </c>
      <c r="T75" s="4">
        <v>15.617144439551161</v>
      </c>
      <c r="U75" s="4">
        <v>14.05975669973353</v>
      </c>
      <c r="V75" s="4">
        <v>12.502368959915898</v>
      </c>
      <c r="W75" s="4">
        <v>10.944981220098267</v>
      </c>
      <c r="X75" s="4">
        <v>9.3875934802806356</v>
      </c>
      <c r="Y75" s="4">
        <v>8.8302057404630023</v>
      </c>
      <c r="Z75" s="4">
        <v>7.3025631123649575</v>
      </c>
      <c r="AA75" s="4">
        <f>[27]Alfa!$F$16</f>
        <v>0.33490909090909093</v>
      </c>
      <c r="AB75" s="4">
        <v>400</v>
      </c>
      <c r="AC75" s="4">
        <v>80</v>
      </c>
      <c r="AD75" s="4">
        <v>1200</v>
      </c>
      <c r="AE75" s="4">
        <v>6.9</v>
      </c>
      <c r="AF75" s="4">
        <v>85</v>
      </c>
    </row>
    <row r="76" spans="1:32" x14ac:dyDescent="0.3">
      <c r="A76" s="5">
        <v>27.762768173703723</v>
      </c>
      <c r="B76" s="4" cm="1">
        <f t="array" ref="B76:G76">_xlfn.SEQUENCE(1,6,A76-1,(H76-A76)/6)</f>
        <v>26.762768173703723</v>
      </c>
      <c r="C76" s="5">
        <v>24.316768149396943</v>
      </c>
      <c r="D76" s="5">
        <v>21.870768125090162</v>
      </c>
      <c r="E76" s="5">
        <v>19.424768100783382</v>
      </c>
      <c r="F76" s="5">
        <v>16.978768076476602</v>
      </c>
      <c r="G76" s="5">
        <v>14.532768052169821</v>
      </c>
      <c r="H76" s="5">
        <v>13.086768027863036</v>
      </c>
      <c r="I76" s="5">
        <v>84.311887758675709</v>
      </c>
      <c r="J76" s="4" cm="1">
        <f t="array" ref="J76:O76">_xlfn.SEQUENCE(1,6,I76-1,(P76-I76)/6)</f>
        <v>83.311887758675709</v>
      </c>
      <c r="K76" s="5">
        <v>80.727806695517685</v>
      </c>
      <c r="L76" s="5">
        <v>78.143725632359661</v>
      </c>
      <c r="M76" s="5">
        <v>75.559644569201637</v>
      </c>
      <c r="N76" s="5">
        <v>72.975563506043613</v>
      </c>
      <c r="O76" s="5">
        <v>70.391482442885589</v>
      </c>
      <c r="P76" s="5">
        <v>68.807401379727537</v>
      </c>
      <c r="Q76" s="5">
        <v>66.939634263180949</v>
      </c>
      <c r="R76" s="5">
        <v>17.334565876236468</v>
      </c>
      <c r="S76" s="4" cm="1">
        <f t="array" ref="S76:X76">_xlfn.SEQUENCE(1,6,R76-1,(Y76-R76)/6)</f>
        <v>16.334565876236468</v>
      </c>
      <c r="T76" s="5">
        <v>14.869510058644039</v>
      </c>
      <c r="U76" s="5">
        <v>13.40445424105161</v>
      </c>
      <c r="V76" s="5">
        <v>11.939398423459181</v>
      </c>
      <c r="W76" s="5">
        <v>10.474342605866752</v>
      </c>
      <c r="X76" s="5">
        <v>9.0092867882743235</v>
      </c>
      <c r="Y76" s="5">
        <v>8.5442309706818929</v>
      </c>
      <c r="Z76" s="5">
        <v>7.1237236328235412</v>
      </c>
      <c r="AA76" s="5">
        <f>[28]Alfa!$F$16</f>
        <v>0.30913761467889916</v>
      </c>
      <c r="AB76" s="5">
        <v>400</v>
      </c>
      <c r="AC76" s="5">
        <v>80</v>
      </c>
      <c r="AD76" s="5">
        <v>1200</v>
      </c>
      <c r="AE76" s="5">
        <v>6.5</v>
      </c>
      <c r="AF76" s="5">
        <v>85</v>
      </c>
    </row>
    <row r="77" spans="1:32" x14ac:dyDescent="0.3">
      <c r="A77" s="4">
        <v>31.094825457541152</v>
      </c>
      <c r="B77" s="4" cm="1">
        <f t="array" ref="B77:G77">_xlfn.SEQUENCE(1,6,A77-1,(H77-A77)/6)</f>
        <v>30.094825457541152</v>
      </c>
      <c r="C77" s="4">
        <v>27.317274542386556</v>
      </c>
      <c r="D77" s="4">
        <v>24.539723627231961</v>
      </c>
      <c r="E77" s="4">
        <v>21.762172712077366</v>
      </c>
      <c r="F77" s="4">
        <v>18.98462179692277</v>
      </c>
      <c r="G77" s="4">
        <v>16.207070881768175</v>
      </c>
      <c r="H77" s="4">
        <v>14.429519966613578</v>
      </c>
      <c r="I77" s="4">
        <v>143.44744629335733</v>
      </c>
      <c r="J77" s="4" cm="1">
        <f t="array" ref="J77:O77">_xlfn.SEQUENCE(1,6,I77-1,(P77-I77)/6)</f>
        <v>142.44744629335733</v>
      </c>
      <c r="K77" s="4">
        <v>137.28006776393107</v>
      </c>
      <c r="L77" s="4">
        <v>132.11268923450481</v>
      </c>
      <c r="M77" s="4">
        <v>126.94531070507855</v>
      </c>
      <c r="N77" s="4">
        <v>121.7779321756523</v>
      </c>
      <c r="O77" s="4">
        <v>116.61055364622604</v>
      </c>
      <c r="P77" s="4">
        <v>112.44317511679976</v>
      </c>
      <c r="Q77" s="4">
        <v>109.01484833667973</v>
      </c>
      <c r="R77" s="4">
        <v>19.445363920912289</v>
      </c>
      <c r="S77" s="4" cm="1">
        <f t="array" ref="S77:X77">_xlfn.SEQUENCE(1,6,R77-1,(Y77-R77)/6)</f>
        <v>18.445363920912289</v>
      </c>
      <c r="T77" s="4">
        <v>16.701855496284214</v>
      </c>
      <c r="U77" s="4">
        <v>14.95834707165614</v>
      </c>
      <c r="V77" s="4">
        <v>13.214838647028067</v>
      </c>
      <c r="W77" s="4">
        <v>11.471330222399994</v>
      </c>
      <c r="X77" s="4">
        <v>9.7278217977719201</v>
      </c>
      <c r="Y77" s="4">
        <v>8.9843133731438449</v>
      </c>
      <c r="Z77" s="4">
        <v>7.2805494595551785</v>
      </c>
      <c r="AA77" s="4">
        <f>[29]Alfa!$F$16</f>
        <v>0.33809174311926593</v>
      </c>
      <c r="AB77" s="4">
        <v>450</v>
      </c>
      <c r="AC77" s="4">
        <v>90</v>
      </c>
      <c r="AD77" s="4">
        <v>1350</v>
      </c>
      <c r="AE77" s="4">
        <v>7</v>
      </c>
      <c r="AF77" s="4">
        <v>145</v>
      </c>
    </row>
    <row r="78" spans="1:32" x14ac:dyDescent="0.3">
      <c r="A78" s="4">
        <v>43.687890795193404</v>
      </c>
      <c r="B78" s="4" cm="1">
        <f t="array" ref="B78:G78">_xlfn.SEQUENCE(1,6,A78-1,(H78-A78)/6)</f>
        <v>42.687890795193404</v>
      </c>
      <c r="C78" s="4">
        <v>39.601155659971909</v>
      </c>
      <c r="D78" s="4">
        <v>36.514420524750413</v>
      </c>
      <c r="E78" s="4">
        <v>33.427685389528918</v>
      </c>
      <c r="F78" s="4">
        <v>30.340950254307419</v>
      </c>
      <c r="G78" s="4">
        <v>27.25421511908592</v>
      </c>
      <c r="H78" s="4">
        <v>25.167479983864418</v>
      </c>
      <c r="I78" s="4">
        <v>84.482659202118114</v>
      </c>
      <c r="J78" s="4" cm="1">
        <f t="array" ref="J78:O78">_xlfn.SEQUENCE(1,6,I78-1,(P78-I78)/6)</f>
        <v>83.482659202118114</v>
      </c>
      <c r="K78" s="4">
        <v>79.80286339001114</v>
      </c>
      <c r="L78" s="4">
        <v>76.123067577904166</v>
      </c>
      <c r="M78" s="4">
        <v>72.443271765797192</v>
      </c>
      <c r="N78" s="4">
        <v>68.763475953690218</v>
      </c>
      <c r="O78" s="4">
        <v>65.083680141583244</v>
      </c>
      <c r="P78" s="4">
        <v>62.403884329476234</v>
      </c>
      <c r="Q78" s="4">
        <v>59.784380244762673</v>
      </c>
      <c r="R78" s="4">
        <v>35.455755921843405</v>
      </c>
      <c r="S78" s="4" cm="1">
        <f t="array" ref="S78:X78">_xlfn.SEQUENCE(1,6,R78-1,(Y78-R78)/6)</f>
        <v>34.455755921843405</v>
      </c>
      <c r="T78" s="4">
        <v>30.711693901048438</v>
      </c>
      <c r="U78" s="4">
        <v>26.967631880253471</v>
      </c>
      <c r="V78" s="4">
        <v>23.223569859458504</v>
      </c>
      <c r="W78" s="4">
        <v>19.479507838663537</v>
      </c>
      <c r="X78" s="4">
        <v>15.73544581786857</v>
      </c>
      <c r="Y78" s="4">
        <v>12.991383797073603</v>
      </c>
      <c r="Z78" s="4">
        <v>9.4204249234851787</v>
      </c>
      <c r="AA78" s="4">
        <f>[30]Alfa!$F$16</f>
        <v>8.5648351648351662E-2</v>
      </c>
      <c r="AB78" s="4">
        <v>132</v>
      </c>
      <c r="AC78" s="4">
        <v>14</v>
      </c>
      <c r="AD78" s="4">
        <v>138</v>
      </c>
      <c r="AE78" s="4">
        <v>8.11</v>
      </c>
      <c r="AF78" s="4">
        <v>85</v>
      </c>
    </row>
    <row r="79" spans="1:32" x14ac:dyDescent="0.3">
      <c r="A79" s="4">
        <v>46.565373522008294</v>
      </c>
      <c r="B79" s="4" cm="1">
        <f t="array" ref="B79:G79">_xlfn.SEQUENCE(1,6,A79-1,(H79-A79)/6)</f>
        <v>45.565373522008294</v>
      </c>
      <c r="C79" s="4">
        <v>42.350000857501215</v>
      </c>
      <c r="D79" s="4">
        <v>39.134628192994136</v>
      </c>
      <c r="E79" s="4">
        <v>35.919255528487056</v>
      </c>
      <c r="F79" s="4">
        <v>32.703882863979977</v>
      </c>
      <c r="G79" s="4">
        <v>29.488510199472895</v>
      </c>
      <c r="H79" s="4">
        <v>27.273137534965805</v>
      </c>
      <c r="I79" s="4">
        <v>144.77390637913996</v>
      </c>
      <c r="J79" s="4" cm="1">
        <f t="array" ref="J79:O79">_xlfn.SEQUENCE(1,6,I79-1,(P79-I79)/6)</f>
        <v>143.77390637913996</v>
      </c>
      <c r="K79" s="4">
        <v>135.7407850386183</v>
      </c>
      <c r="L79" s="4">
        <v>127.70766369809664</v>
      </c>
      <c r="M79" s="4">
        <v>119.67454235757498</v>
      </c>
      <c r="N79" s="4">
        <v>111.64142101705332</v>
      </c>
      <c r="O79" s="4">
        <v>103.60829967653166</v>
      </c>
      <c r="P79" s="4">
        <v>96.575178336009984</v>
      </c>
      <c r="Q79" s="4">
        <v>91.793737836595767</v>
      </c>
      <c r="R79" s="4">
        <v>37.936305840655542</v>
      </c>
      <c r="S79" s="4" cm="1">
        <f t="array" ref="S79:X79">_xlfn.SEQUENCE(1,6,R79-1,(Y79-R79)/6)</f>
        <v>36.936305840655542</v>
      </c>
      <c r="T79" s="4">
        <v>32.743732705690952</v>
      </c>
      <c r="U79" s="4">
        <v>28.551159570726362</v>
      </c>
      <c r="V79" s="4">
        <v>24.358586435761772</v>
      </c>
      <c r="W79" s="4">
        <v>20.166013300797182</v>
      </c>
      <c r="X79" s="4">
        <v>15.973440165832592</v>
      </c>
      <c r="Y79" s="4">
        <v>12.780867030868002</v>
      </c>
      <c r="Z79" s="4">
        <v>8.7920261326018689</v>
      </c>
      <c r="AA79" s="4">
        <f>[31]Alfa!$F$16</f>
        <v>7.2596685082872939E-2</v>
      </c>
      <c r="AB79" s="4">
        <v>143</v>
      </c>
      <c r="AC79" s="4">
        <v>14.5</v>
      </c>
      <c r="AD79" s="4">
        <v>144</v>
      </c>
      <c r="AE79" s="4">
        <v>7.89</v>
      </c>
      <c r="AF79" s="4">
        <v>145</v>
      </c>
    </row>
    <row r="80" spans="1:32" x14ac:dyDescent="0.3">
      <c r="A80" s="4">
        <v>51.563064900589602</v>
      </c>
      <c r="B80" s="4" cm="1">
        <f t="array" ref="B80:G80">_xlfn.SEQUENCE(1,6,A80-1,(H80-A80)/6)</f>
        <v>50.563064900589602</v>
      </c>
      <c r="C80" s="4">
        <v>47.096162210850522</v>
      </c>
      <c r="D80" s="4">
        <v>43.629259521111443</v>
      </c>
      <c r="E80" s="4">
        <v>40.162356831372364</v>
      </c>
      <c r="F80" s="4">
        <v>36.695454141633284</v>
      </c>
      <c r="G80" s="4">
        <v>33.228551451894205</v>
      </c>
      <c r="H80" s="4">
        <v>30.761648762155126</v>
      </c>
      <c r="I80" s="4">
        <v>202.43841643459481</v>
      </c>
      <c r="J80" s="4" cm="1">
        <f t="array" ref="J80:O80">_xlfn.SEQUENCE(1,6,I80-1,(P80-I80)/6)</f>
        <v>201.43841643459481</v>
      </c>
      <c r="K80" s="4">
        <v>189.51244234288419</v>
      </c>
      <c r="L80" s="4">
        <v>177.58646825117356</v>
      </c>
      <c r="M80" s="4">
        <v>165.66049415946293</v>
      </c>
      <c r="N80" s="4">
        <v>153.7345200677523</v>
      </c>
      <c r="O80" s="4">
        <v>141.80854597604167</v>
      </c>
      <c r="P80" s="4">
        <v>130.8825718843311</v>
      </c>
      <c r="Q80" s="4">
        <v>124.10229761946563</v>
      </c>
      <c r="R80" s="4">
        <v>42.500429812415291</v>
      </c>
      <c r="S80" s="4" cm="1">
        <f t="array" ref="S80:X80">_xlfn.SEQUENCE(1,6,R80-1,(Y80-R80)/6)</f>
        <v>41.500429812415291</v>
      </c>
      <c r="T80" s="4">
        <v>36.656211503493452</v>
      </c>
      <c r="U80" s="4">
        <v>31.811993194571613</v>
      </c>
      <c r="V80" s="4">
        <v>26.967774885649774</v>
      </c>
      <c r="W80" s="4">
        <v>22.123556576727935</v>
      </c>
      <c r="X80" s="4">
        <v>17.279338267806096</v>
      </c>
      <c r="Y80" s="4">
        <v>13.43511995888425</v>
      </c>
      <c r="Z80" s="4">
        <v>9.10742795962895</v>
      </c>
      <c r="AA80" s="4">
        <f>[32]Alfa!$F$16</f>
        <v>6.5199999999999994E-2</v>
      </c>
      <c r="AB80" s="4">
        <v>156</v>
      </c>
      <c r="AC80" s="4">
        <v>16</v>
      </c>
      <c r="AD80" s="4">
        <v>156</v>
      </c>
      <c r="AE80" s="4">
        <v>7.97</v>
      </c>
      <c r="AF80" s="4">
        <v>205</v>
      </c>
    </row>
    <row r="81" spans="1:32" x14ac:dyDescent="0.3">
      <c r="A81" s="4">
        <v>37.511517919301596</v>
      </c>
      <c r="B81" s="4" cm="1">
        <f t="array" ref="B81:G81">_xlfn.SEQUENCE(1,6,A81-1,(H81-A81)/6)</f>
        <v>36.511517919301596</v>
      </c>
      <c r="C81" s="4">
        <v>34.141358524978102</v>
      </c>
      <c r="D81" s="4">
        <v>31.771199130654612</v>
      </c>
      <c r="E81" s="4">
        <v>29.401039736331121</v>
      </c>
      <c r="F81" s="4">
        <v>27.030880342007631</v>
      </c>
      <c r="G81" s="4">
        <v>24.66072094768414</v>
      </c>
      <c r="H81" s="4">
        <v>23.290561553360646</v>
      </c>
      <c r="I81" s="4">
        <v>84.337657737826945</v>
      </c>
      <c r="J81" s="4" cm="1">
        <f t="array" ref="J81:O81">_xlfn.SEQUENCE(1,6,I81-1,(P81-I81)/6)</f>
        <v>83.337657737826945</v>
      </c>
      <c r="K81" s="4">
        <v>80.02473185527576</v>
      </c>
      <c r="L81" s="4">
        <v>76.711805972724576</v>
      </c>
      <c r="M81" s="4">
        <v>73.398880090173392</v>
      </c>
      <c r="N81" s="4">
        <v>70.085954207622208</v>
      </c>
      <c r="O81" s="4">
        <v>66.773028325071024</v>
      </c>
      <c r="P81" s="4">
        <v>64.46010244251984</v>
      </c>
      <c r="Q81" s="4">
        <v>62.392152340755565</v>
      </c>
      <c r="R81" s="4">
        <v>29.311373807518159</v>
      </c>
      <c r="S81" s="4" cm="1">
        <f t="array" ref="S81:X81">_xlfn.SEQUENCE(1,6,R81-1,(Y81-R81)/6)</f>
        <v>28.311373807518159</v>
      </c>
      <c r="T81" s="4">
        <v>25.287673608181034</v>
      </c>
      <c r="U81" s="4">
        <v>22.26397340884391</v>
      </c>
      <c r="V81" s="4">
        <v>19.240273209506785</v>
      </c>
      <c r="W81" s="4">
        <v>16.216573010169661</v>
      </c>
      <c r="X81" s="4">
        <v>13.192872810832537</v>
      </c>
      <c r="Y81" s="4">
        <v>11.169172611495412</v>
      </c>
      <c r="Z81" s="4">
        <v>8.0526099920423562</v>
      </c>
      <c r="AA81" s="4">
        <f>[33]Alfa!$F$16</f>
        <v>0.10164473684210526</v>
      </c>
      <c r="AB81" s="4">
        <v>208</v>
      </c>
      <c r="AC81" s="4">
        <v>21</v>
      </c>
      <c r="AD81" s="4">
        <v>210</v>
      </c>
      <c r="AE81" s="4">
        <v>7.16</v>
      </c>
      <c r="AF81" s="4">
        <v>85</v>
      </c>
    </row>
    <row r="82" spans="1:32" x14ac:dyDescent="0.3">
      <c r="A82" s="4">
        <v>43.863621200377878</v>
      </c>
      <c r="B82" s="4" cm="1">
        <f t="array" ref="B82:G82">_xlfn.SEQUENCE(1,6,A82-1,(H82-A82)/6)</f>
        <v>42.863621200377878</v>
      </c>
      <c r="C82" s="4">
        <v>39.849228067669564</v>
      </c>
      <c r="D82" s="4">
        <v>36.83483493496125</v>
      </c>
      <c r="E82" s="4">
        <v>33.820441802252937</v>
      </c>
      <c r="F82" s="4">
        <v>30.806048669544623</v>
      </c>
      <c r="G82" s="4">
        <v>27.791655536836309</v>
      </c>
      <c r="H82" s="4">
        <v>25.777262404127988</v>
      </c>
      <c r="I82" s="4">
        <v>144.5736898243614</v>
      </c>
      <c r="J82" s="4" cm="1">
        <f t="array" ref="J82:O82">_xlfn.SEQUENCE(1,6,I82-1,(P82-I82)/6)</f>
        <v>143.5736898243614</v>
      </c>
      <c r="K82" s="4">
        <v>136.86269259785681</v>
      </c>
      <c r="L82" s="4">
        <v>130.15169537135222</v>
      </c>
      <c r="M82" s="4">
        <v>123.44069814484764</v>
      </c>
      <c r="N82" s="4">
        <v>116.72970091834307</v>
      </c>
      <c r="O82" s="4">
        <v>110.0187036918385</v>
      </c>
      <c r="P82" s="4">
        <v>104.30770646533392</v>
      </c>
      <c r="Q82" s="4">
        <v>99.790223147016945</v>
      </c>
      <c r="R82" s="4">
        <v>31.717095158633946</v>
      </c>
      <c r="S82" s="4" cm="1">
        <f t="array" ref="S82:X82">_xlfn.SEQUENCE(1,6,R82-1,(Y82-R82)/6)</f>
        <v>30.717095158633946</v>
      </c>
      <c r="T82" s="4">
        <v>27.378359544497595</v>
      </c>
      <c r="U82" s="4">
        <v>24.039623930361245</v>
      </c>
      <c r="V82" s="4">
        <v>20.700888316224894</v>
      </c>
      <c r="W82" s="4">
        <v>17.362152702088544</v>
      </c>
      <c r="X82" s="4">
        <v>14.023417087952192</v>
      </c>
      <c r="Y82" s="4">
        <v>11.684681473815836</v>
      </c>
      <c r="Z82" s="4">
        <v>7.7653376906230278</v>
      </c>
      <c r="AA82" s="4">
        <f>[34]Alfa!$F$16</f>
        <v>8.1016574585635354E-2</v>
      </c>
      <c r="AB82" s="4">
        <v>240</v>
      </c>
      <c r="AC82" s="4">
        <v>24</v>
      </c>
      <c r="AD82" s="4">
        <v>240</v>
      </c>
      <c r="AE82" s="4">
        <v>7.01</v>
      </c>
      <c r="AF82" s="4">
        <v>145</v>
      </c>
    </row>
    <row r="83" spans="1:32" x14ac:dyDescent="0.3">
      <c r="A83" s="4">
        <v>49.837035059486446</v>
      </c>
      <c r="B83" s="4" cm="1">
        <f t="array" ref="B83:G83">_xlfn.SEQUENCE(1,6,A83-1,(H83-A83)/6)</f>
        <v>48.837035059486446</v>
      </c>
      <c r="C83" s="4">
        <v>45.436713961324251</v>
      </c>
      <c r="D83" s="4">
        <v>42.036392863162057</v>
      </c>
      <c r="E83" s="4">
        <v>38.636071764999862</v>
      </c>
      <c r="F83" s="4">
        <v>35.235750666837667</v>
      </c>
      <c r="G83" s="4">
        <v>31.835429568675472</v>
      </c>
      <c r="H83" s="4">
        <v>29.435108470513271</v>
      </c>
      <c r="I83" s="4">
        <v>205.10895917475014</v>
      </c>
      <c r="J83" s="4" cm="1">
        <f t="array" ref="J83:O83">_xlfn.SEQUENCE(1,6,I83-1,(P83-I83)/6)</f>
        <v>204.10895917475014</v>
      </c>
      <c r="K83" s="4">
        <v>194.09395407713274</v>
      </c>
      <c r="L83" s="4">
        <v>184.07894897951533</v>
      </c>
      <c r="M83" s="4">
        <v>174.06394388189793</v>
      </c>
      <c r="N83" s="4">
        <v>164.04893878428052</v>
      </c>
      <c r="O83" s="4">
        <v>154.03393368666312</v>
      </c>
      <c r="P83" s="4">
        <v>145.01892858904569</v>
      </c>
      <c r="Q83" s="4">
        <v>138.12765775202601</v>
      </c>
      <c r="R83" s="4">
        <v>35.892479175975431</v>
      </c>
      <c r="S83" s="4" cm="1">
        <f t="array" ref="S83:X83">_xlfn.SEQUENCE(1,6,R83-1,(Y83-R83)/6)</f>
        <v>34.892479175975431</v>
      </c>
      <c r="T83" s="4">
        <v>31.007438209391772</v>
      </c>
      <c r="U83" s="4">
        <v>27.122397242808113</v>
      </c>
      <c r="V83" s="4">
        <v>23.237356276224453</v>
      </c>
      <c r="W83" s="4">
        <v>19.352315309640794</v>
      </c>
      <c r="X83" s="4">
        <v>15.467274343057134</v>
      </c>
      <c r="Y83" s="4">
        <v>12.582233376473475</v>
      </c>
      <c r="Z83" s="4">
        <v>7.832182252033121</v>
      </c>
      <c r="AA83" s="4">
        <f>[35]Alfa!$F$16</f>
        <v>6.6461538461538461E-2</v>
      </c>
      <c r="AB83" s="4">
        <v>260</v>
      </c>
      <c r="AC83" s="4">
        <v>26</v>
      </c>
      <c r="AD83" s="4">
        <v>261</v>
      </c>
      <c r="AE83" s="4">
        <v>6.69</v>
      </c>
      <c r="AF83" s="4">
        <v>205</v>
      </c>
    </row>
    <row r="84" spans="1:32" x14ac:dyDescent="0.3">
      <c r="A84" s="4">
        <v>32.269491624319556</v>
      </c>
      <c r="B84" s="4" cm="1">
        <f t="array" ref="B84:G84">_xlfn.SEQUENCE(1,6,A84-1,(H84-A84)/6)</f>
        <v>31.269491624319556</v>
      </c>
      <c r="C84" s="4">
        <v>28.973444678235303</v>
      </c>
      <c r="D84" s="4">
        <v>26.67739773215105</v>
      </c>
      <c r="E84" s="4">
        <v>24.381350786066797</v>
      </c>
      <c r="F84" s="4">
        <v>22.085303839982544</v>
      </c>
      <c r="G84" s="4">
        <v>19.78925689389829</v>
      </c>
      <c r="H84" s="4">
        <v>18.49320994781403</v>
      </c>
      <c r="I84" s="4">
        <v>85.016596017204762</v>
      </c>
      <c r="J84" s="4" cm="1">
        <f t="array" ref="J84:O84">_xlfn.SEQUENCE(1,6,I84-1,(P84-I84)/6)</f>
        <v>84.016596017204762</v>
      </c>
      <c r="K84" s="4">
        <v>81.238880746901941</v>
      </c>
      <c r="L84" s="4">
        <v>78.46116547659912</v>
      </c>
      <c r="M84" s="4">
        <v>75.6834502062963</v>
      </c>
      <c r="N84" s="4">
        <v>72.905734935993479</v>
      </c>
      <c r="O84" s="4">
        <v>70.128019665690658</v>
      </c>
      <c r="P84" s="4">
        <v>68.35030439538788</v>
      </c>
      <c r="Q84" s="4">
        <v>66.098943960409002</v>
      </c>
      <c r="R84" s="4">
        <v>21.503131705166801</v>
      </c>
      <c r="S84" s="4" cm="1">
        <f t="array" ref="S84:X84">_xlfn.SEQUENCE(1,6,R84-1,(Y84-R84)/6)</f>
        <v>20.503131705166801</v>
      </c>
      <c r="T84" s="4">
        <v>18.44792718894189</v>
      </c>
      <c r="U84" s="4">
        <v>16.392722672716978</v>
      </c>
      <c r="V84" s="4">
        <v>14.337518156492067</v>
      </c>
      <c r="W84" s="4">
        <v>12.282313640267155</v>
      </c>
      <c r="X84" s="4">
        <v>10.227109124042244</v>
      </c>
      <c r="Y84" s="4">
        <v>9.1719046078173285</v>
      </c>
      <c r="Z84" s="4">
        <v>6.8195689595401205</v>
      </c>
      <c r="AA84" s="4">
        <f>[36]Alfa!$F$16</f>
        <v>0.1089</v>
      </c>
      <c r="AB84" s="4">
        <v>414</v>
      </c>
      <c r="AC84" s="4">
        <v>41.5</v>
      </c>
      <c r="AD84" s="4">
        <v>435</v>
      </c>
      <c r="AE84" s="4">
        <v>6.46</v>
      </c>
      <c r="AF84" s="4">
        <v>85</v>
      </c>
    </row>
    <row r="85" spans="1:32" x14ac:dyDescent="0.3">
      <c r="A85" s="4">
        <v>36.342396703304672</v>
      </c>
      <c r="B85" s="4" cm="1">
        <f t="array" ref="B85:G85">_xlfn.SEQUENCE(1,6,A85-1,(H85-A85)/6)</f>
        <v>35.342396703304672</v>
      </c>
      <c r="C85" s="4">
        <v>32.370932596420587</v>
      </c>
      <c r="D85" s="4">
        <v>29.399468489536503</v>
      </c>
      <c r="E85" s="4">
        <v>26.428004382652418</v>
      </c>
      <c r="F85" s="4">
        <v>23.456540275768333</v>
      </c>
      <c r="G85" s="4">
        <v>20.485076168884248</v>
      </c>
      <c r="H85" s="4">
        <v>18.513612062000156</v>
      </c>
      <c r="I85" s="4">
        <v>144.40806275554803</v>
      </c>
      <c r="J85" s="4" cm="1">
        <f t="array" ref="J85:O85">_xlfn.SEQUENCE(1,6,I85-1,(P85-I85)/6)</f>
        <v>143.40806275554803</v>
      </c>
      <c r="K85" s="4">
        <v>137.86341301591719</v>
      </c>
      <c r="L85" s="4">
        <v>132.31876327628635</v>
      </c>
      <c r="M85" s="4">
        <v>126.77411353665551</v>
      </c>
      <c r="N85" s="4">
        <v>121.22946379702466</v>
      </c>
      <c r="O85" s="4">
        <v>115.68481405739382</v>
      </c>
      <c r="P85" s="4">
        <v>111.14016431776297</v>
      </c>
      <c r="Q85" s="4">
        <v>106.97640153380019</v>
      </c>
      <c r="R85" s="4">
        <v>23.771314699503577</v>
      </c>
      <c r="S85" s="4" cm="1">
        <f t="array" ref="S85:X85">_xlfn.SEQUENCE(1,6,R85-1,(Y85-R85)/6)</f>
        <v>22.771314699503577</v>
      </c>
      <c r="T85" s="4">
        <v>20.417139837211352</v>
      </c>
      <c r="U85" s="4">
        <v>18.062964974919126</v>
      </c>
      <c r="V85" s="4">
        <v>15.7087901126269</v>
      </c>
      <c r="W85" s="4">
        <v>13.354615250334675</v>
      </c>
      <c r="X85" s="4">
        <v>11.000440388042449</v>
      </c>
      <c r="Y85" s="4">
        <v>9.646265525750227</v>
      </c>
      <c r="Z85" s="4">
        <v>7.0304273410205944</v>
      </c>
      <c r="AA85" s="4">
        <f>[37]Alfa!$F$16</f>
        <v>9.4799999999999982E-2</v>
      </c>
      <c r="AB85" s="4">
        <v>477</v>
      </c>
      <c r="AC85" s="4">
        <v>47</v>
      </c>
      <c r="AD85" s="4">
        <v>489</v>
      </c>
      <c r="AE85" s="4">
        <v>6.65</v>
      </c>
      <c r="AF85" s="4">
        <v>145</v>
      </c>
    </row>
    <row r="86" spans="1:32" x14ac:dyDescent="0.3">
      <c r="A86" s="4">
        <v>42.594528819963479</v>
      </c>
      <c r="B86" s="4" cm="1">
        <f t="array" ref="B86:G86">_xlfn.SEQUENCE(1,6,A86-1,(H86-A86)/6)</f>
        <v>41.594528819963479</v>
      </c>
      <c r="C86" s="4">
        <v>38.078894204824628</v>
      </c>
      <c r="D86" s="4">
        <v>34.563259589685778</v>
      </c>
      <c r="E86" s="4">
        <v>31.047624974546931</v>
      </c>
      <c r="F86" s="4">
        <v>27.531990359408084</v>
      </c>
      <c r="G86" s="4">
        <v>24.016355744269237</v>
      </c>
      <c r="H86" s="4">
        <v>21.50072112913039</v>
      </c>
      <c r="I86" s="4">
        <v>204.50360298243439</v>
      </c>
      <c r="J86" s="4" cm="1">
        <f t="array" ref="J86:O86">_xlfn.SEQUENCE(1,6,I86-1,(P86-I86)/6)</f>
        <v>203.50360298243439</v>
      </c>
      <c r="K86" s="4">
        <v>195.49392454987412</v>
      </c>
      <c r="L86" s="4">
        <v>187.48424611731383</v>
      </c>
      <c r="M86" s="4">
        <v>179.47456768475354</v>
      </c>
      <c r="N86" s="4">
        <v>171.46488925219325</v>
      </c>
      <c r="O86" s="4">
        <v>163.45521081963295</v>
      </c>
      <c r="P86" s="4">
        <v>156.44553238707272</v>
      </c>
      <c r="Q86" s="4">
        <v>151.30018586564347</v>
      </c>
      <c r="R86" s="4">
        <v>27.2337687369536</v>
      </c>
      <c r="S86" s="4" cm="1">
        <f t="array" ref="S86:X86">_xlfn.SEQUENCE(1,6,R86-1,(Y86-R86)/6)</f>
        <v>26.2337687369536</v>
      </c>
      <c r="T86" s="4">
        <v>23.400986976428165</v>
      </c>
      <c r="U86" s="4">
        <v>20.568205215902729</v>
      </c>
      <c r="V86" s="4">
        <v>17.735423455377294</v>
      </c>
      <c r="W86" s="4">
        <v>14.902641694851859</v>
      </c>
      <c r="X86" s="4">
        <v>12.069859934326423</v>
      </c>
      <c r="Y86" s="4">
        <v>10.237078173800988</v>
      </c>
      <c r="Z86" s="4">
        <v>6.8490718248110269</v>
      </c>
      <c r="AA86" s="4">
        <f>[38]Alfa!$F$16</f>
        <v>9.0700000000000003E-2</v>
      </c>
      <c r="AB86" s="4">
        <v>524</v>
      </c>
      <c r="AC86" s="4">
        <v>53</v>
      </c>
      <c r="AD86" s="4">
        <v>525</v>
      </c>
      <c r="AE86" s="4">
        <v>6.34</v>
      </c>
      <c r="AF86" s="4">
        <v>205</v>
      </c>
    </row>
    <row r="87" spans="1:32" x14ac:dyDescent="0.3">
      <c r="A87" s="4">
        <v>23.881112639344011</v>
      </c>
      <c r="B87" s="4" cm="1">
        <f t="array" ref="B87:G87">_xlfn.SEQUENCE(1,6,A87-1,(H87-A87)/6)</f>
        <v>22.881112639344011</v>
      </c>
      <c r="C87" s="4">
        <v>20.780680205541984</v>
      </c>
      <c r="D87" s="4">
        <v>18.680247771739957</v>
      </c>
      <c r="E87" s="4">
        <v>16.57981533793793</v>
      </c>
      <c r="F87" s="4">
        <v>14.479382904135903</v>
      </c>
      <c r="G87" s="4">
        <v>12.378950470333876</v>
      </c>
      <c r="H87" s="4">
        <v>11.27851803653185</v>
      </c>
      <c r="I87" s="4">
        <v>84.129499449098432</v>
      </c>
      <c r="J87" s="4" cm="1">
        <f t="array" ref="J87:O87">_xlfn.SEQUENCE(1,6,I87-1,(P87-I87)/6)</f>
        <v>83.129499449098432</v>
      </c>
      <c r="K87" s="4">
        <v>78.51886657093516</v>
      </c>
      <c r="L87" s="4">
        <v>73.908233692771887</v>
      </c>
      <c r="M87" s="4">
        <v>69.297600814608614</v>
      </c>
      <c r="N87" s="4">
        <v>64.686967936445342</v>
      </c>
      <c r="O87" s="4">
        <v>60.076335058282062</v>
      </c>
      <c r="P87" s="4">
        <v>56.465702180118761</v>
      </c>
      <c r="Q87" s="4">
        <v>53.321663707912016</v>
      </c>
      <c r="R87" s="4">
        <v>14.451748088720805</v>
      </c>
      <c r="S87" s="4" cm="1">
        <f t="array" ref="S87:X87">_xlfn.SEQUENCE(1,6,R87-1,(Y87-R87)/6)</f>
        <v>13.451748088720805</v>
      </c>
      <c r="T87" s="4">
        <v>12.266200161879633</v>
      </c>
      <c r="U87" s="4">
        <v>11.08065223503846</v>
      </c>
      <c r="V87" s="4">
        <v>9.895104308197288</v>
      </c>
      <c r="W87" s="4">
        <v>8.7095563813561157</v>
      </c>
      <c r="X87" s="4">
        <v>7.5240084545149424</v>
      </c>
      <c r="Y87" s="4">
        <v>7.3384605276737673</v>
      </c>
      <c r="Z87" s="4">
        <v>6.2414292042338495</v>
      </c>
      <c r="AA87" s="4">
        <f>[39]Alfa!$F$16</f>
        <v>0.10793478260869566</v>
      </c>
      <c r="AB87" s="4">
        <v>132</v>
      </c>
      <c r="AC87" s="4">
        <v>14</v>
      </c>
      <c r="AD87" s="4">
        <v>555</v>
      </c>
      <c r="AE87" s="4">
        <v>6.09</v>
      </c>
      <c r="AF87" s="4">
        <v>85</v>
      </c>
    </row>
    <row r="88" spans="1:32" x14ac:dyDescent="0.3">
      <c r="A88" s="4">
        <v>27.143841869996582</v>
      </c>
      <c r="B88" s="4" cm="1">
        <f t="array" ref="B88:G88">_xlfn.SEQUENCE(1,6,A88-1,(H88-A88)/6)</f>
        <v>26.143841869996582</v>
      </c>
      <c r="C88" s="4">
        <v>23.716859025157937</v>
      </c>
      <c r="D88" s="4">
        <v>21.289876180319293</v>
      </c>
      <c r="E88" s="4">
        <v>18.862893335480649</v>
      </c>
      <c r="F88" s="4">
        <v>16.435910490642005</v>
      </c>
      <c r="G88" s="4">
        <v>14.008927645803361</v>
      </c>
      <c r="H88" s="4">
        <v>12.581944800964717</v>
      </c>
      <c r="I88" s="4">
        <v>145.22226434606853</v>
      </c>
      <c r="J88" s="4" cm="1">
        <f t="array" ref="J88:O88">_xlfn.SEQUENCE(1,6,I88-1,(P88-I88)/6)</f>
        <v>144.22226434606853</v>
      </c>
      <c r="K88" s="4">
        <v>135.3659509509626</v>
      </c>
      <c r="L88" s="4">
        <v>126.50963755585666</v>
      </c>
      <c r="M88" s="4">
        <v>117.65332416075071</v>
      </c>
      <c r="N88" s="4">
        <v>108.79701076564477</v>
      </c>
      <c r="O88" s="4">
        <v>99.940697370538828</v>
      </c>
      <c r="P88" s="4">
        <v>92.084383975432885</v>
      </c>
      <c r="Q88" s="4">
        <v>85.990765046495639</v>
      </c>
      <c r="R88" s="4">
        <v>16.27091156702922</v>
      </c>
      <c r="S88" s="4" cm="1">
        <f t="array" ref="S88:X88">_xlfn.SEQUENCE(1,6,R88-1,(Y88-R88)/6)</f>
        <v>15.27091156702922</v>
      </c>
      <c r="T88" s="4">
        <v>13.877124878610729</v>
      </c>
      <c r="U88" s="4">
        <v>12.483338190192239</v>
      </c>
      <c r="V88" s="4">
        <v>11.089551501773748</v>
      </c>
      <c r="W88" s="4">
        <v>9.6957648133552574</v>
      </c>
      <c r="X88" s="4">
        <v>8.3019781249367668</v>
      </c>
      <c r="Y88" s="4">
        <v>7.9081914365182815</v>
      </c>
      <c r="Z88" s="4">
        <v>6.650919677371693</v>
      </c>
      <c r="AA88" s="4">
        <f>[40]Alfa!$F$16</f>
        <v>9.8585635359115992E-2</v>
      </c>
      <c r="AB88" s="4">
        <v>142</v>
      </c>
      <c r="AC88" s="4">
        <v>14.5</v>
      </c>
      <c r="AD88" s="4">
        <v>576</v>
      </c>
      <c r="AE88" s="4">
        <v>6.48</v>
      </c>
      <c r="AF88" s="4">
        <v>145</v>
      </c>
    </row>
    <row r="89" spans="1:32" x14ac:dyDescent="0.3">
      <c r="A89" s="4">
        <v>28.809586954960121</v>
      </c>
      <c r="B89" s="4" cm="1">
        <f t="array" ref="B89:G89">_xlfn.SEQUENCE(1,6,A89-1,(H89-A89)/6)</f>
        <v>27.809586954960121</v>
      </c>
      <c r="C89" s="4">
        <v>25.098123454308109</v>
      </c>
      <c r="D89" s="4">
        <v>22.386659953656096</v>
      </c>
      <c r="E89" s="4">
        <v>19.675196453004084</v>
      </c>
      <c r="F89" s="4">
        <v>16.963732952352071</v>
      </c>
      <c r="G89" s="4">
        <v>14.252269451700057</v>
      </c>
      <c r="H89" s="4">
        <v>12.540805951048037</v>
      </c>
      <c r="I89" s="4">
        <v>205.05435631029445</v>
      </c>
      <c r="J89" s="4" cm="1">
        <f t="array" ref="J89:O89">_xlfn.SEQUENCE(1,6,I89-1,(P89-I89)/6)</f>
        <v>204.05435631029445</v>
      </c>
      <c r="K89" s="4">
        <v>190.77233409729249</v>
      </c>
      <c r="L89" s="4">
        <v>177.49031188429052</v>
      </c>
      <c r="M89" s="4">
        <v>164.20828967128855</v>
      </c>
      <c r="N89" s="4">
        <v>150.92626745828659</v>
      </c>
      <c r="O89" s="4">
        <v>137.64424524528462</v>
      </c>
      <c r="P89" s="4">
        <v>125.36222303228266</v>
      </c>
      <c r="Q89" s="4">
        <v>117.45303805845309</v>
      </c>
      <c r="R89" s="4">
        <v>16.956057679764257</v>
      </c>
      <c r="S89" s="4" cm="1">
        <f t="array" ref="S89:X89">_xlfn.SEQUENCE(1,6,R89-1,(Y89-R89)/6)</f>
        <v>15.956057679764257</v>
      </c>
      <c r="T89" s="4">
        <v>14.429080006850413</v>
      </c>
      <c r="U89" s="4">
        <v>12.902102333936568</v>
      </c>
      <c r="V89" s="4">
        <v>11.375124661022724</v>
      </c>
      <c r="W89" s="4">
        <v>9.8481469881088799</v>
      </c>
      <c r="X89" s="4">
        <v>8.3211693151950357</v>
      </c>
      <c r="Y89" s="4">
        <v>7.7941916422811879</v>
      </c>
      <c r="Z89" s="4">
        <v>6.3834991233242917</v>
      </c>
      <c r="AA89" s="4">
        <f>[41]Alfa!$F$16</f>
        <v>9.4533333333333344E-2</v>
      </c>
      <c r="AB89" s="4">
        <v>156</v>
      </c>
      <c r="AC89" s="4">
        <v>15.5</v>
      </c>
      <c r="AD89" s="4">
        <v>627</v>
      </c>
      <c r="AE89" s="4">
        <v>6.21</v>
      </c>
      <c r="AF89" s="4">
        <v>205</v>
      </c>
    </row>
    <row r="90" spans="1:32" x14ac:dyDescent="0.3">
      <c r="A90" s="4">
        <v>26.072377331634801</v>
      </c>
      <c r="B90" s="4" cm="1">
        <f t="array" ref="B90:G90">_xlfn.SEQUENCE(1,6,A90-1,(H90-A90)/6)</f>
        <v>25.072377331634801</v>
      </c>
      <c r="C90" s="4">
        <v>22.940693363197813</v>
      </c>
      <c r="D90" s="4">
        <v>20.809009394760825</v>
      </c>
      <c r="E90" s="4">
        <v>18.677325426323836</v>
      </c>
      <c r="F90" s="4">
        <v>16.545641457886848</v>
      </c>
      <c r="G90" s="4">
        <v>14.41395748944986</v>
      </c>
      <c r="H90" s="4">
        <v>13.28227352101287</v>
      </c>
      <c r="I90" s="4">
        <v>204.5873358801675</v>
      </c>
      <c r="J90" s="4" cm="1">
        <f t="array" ref="J90:O90">_xlfn.SEQUENCE(1,6,I90-1,(P90-I90)/6)</f>
        <v>203.5873358801675</v>
      </c>
      <c r="K90" s="4">
        <v>192.39814992953094</v>
      </c>
      <c r="L90" s="4">
        <v>181.20896397889439</v>
      </c>
      <c r="M90" s="4">
        <v>170.01977802825783</v>
      </c>
      <c r="N90" s="4">
        <v>158.83059207762128</v>
      </c>
      <c r="O90" s="4">
        <v>147.64140612698472</v>
      </c>
      <c r="P90" s="4">
        <v>137.45222017634822</v>
      </c>
      <c r="Q90" s="4">
        <v>129.7341160111155</v>
      </c>
      <c r="R90" s="4">
        <v>15.591410083848771</v>
      </c>
      <c r="S90" s="4" cm="1">
        <f t="array" ref="S90:X90">_xlfn.SEQUENCE(1,6,R90-1,(Y90-R90)/6)</f>
        <v>14.591410083848771</v>
      </c>
      <c r="T90" s="4">
        <v>13.30794844993795</v>
      </c>
      <c r="U90" s="4">
        <v>12.024486816027128</v>
      </c>
      <c r="V90" s="4">
        <v>10.741025182116307</v>
      </c>
      <c r="W90" s="4">
        <v>9.4575635482054849</v>
      </c>
      <c r="X90" s="4">
        <v>8.1741019142946634</v>
      </c>
      <c r="Y90" s="4">
        <v>7.8906402803838382</v>
      </c>
      <c r="Z90" s="4">
        <v>6.5783138840950617</v>
      </c>
      <c r="AA90" s="4">
        <f>[42]Alfa!$F$16</f>
        <v>0.10246666666666666</v>
      </c>
      <c r="AB90" s="4">
        <v>259</v>
      </c>
      <c r="AC90" s="4">
        <v>26</v>
      </c>
      <c r="AD90" s="4">
        <v>1038</v>
      </c>
      <c r="AE90" s="4">
        <v>6.39</v>
      </c>
      <c r="AF90" s="4">
        <v>205</v>
      </c>
    </row>
    <row r="91" spans="1:32" x14ac:dyDescent="0.3">
      <c r="A91" s="4">
        <v>21.608990415634636</v>
      </c>
      <c r="B91" s="4" cm="1">
        <f t="array" ref="B91:G91">_xlfn.SEQUENCE(1,6,A91-1,(H91-A91)/6)</f>
        <v>20.608990415634636</v>
      </c>
      <c r="C91" s="4">
        <v>18.781557021145176</v>
      </c>
      <c r="D91" s="4">
        <v>16.954123626655715</v>
      </c>
      <c r="E91" s="4">
        <v>15.126690232166254</v>
      </c>
      <c r="F91" s="4">
        <v>13.299256837676793</v>
      </c>
      <c r="G91" s="4">
        <v>11.471823443187333</v>
      </c>
      <c r="H91" s="4">
        <v>10.644390048697868</v>
      </c>
      <c r="I91" s="4">
        <v>84.712778469958764</v>
      </c>
      <c r="J91" s="4" cm="1">
        <f t="array" ref="J91:O91">_xlfn.SEQUENCE(1,6,I91-1,(P91-I91)/6)</f>
        <v>83.712778469958764</v>
      </c>
      <c r="K91" s="4">
        <v>79.776898441663917</v>
      </c>
      <c r="L91" s="4">
        <v>75.841018413369071</v>
      </c>
      <c r="M91" s="4">
        <v>71.905138385074224</v>
      </c>
      <c r="N91" s="4">
        <v>67.969258356779378</v>
      </c>
      <c r="O91" s="4">
        <v>64.033378328484531</v>
      </c>
      <c r="P91" s="4">
        <v>61.097498300189677</v>
      </c>
      <c r="Q91" s="4">
        <v>58.396793989299233</v>
      </c>
      <c r="R91" s="4">
        <v>13.23826979135864</v>
      </c>
      <c r="S91" s="4" cm="1">
        <f t="array" ref="S91:X91">_xlfn.SEQUENCE(1,6,R91-1,(Y91-R91)/6)</f>
        <v>12.23826979135864</v>
      </c>
      <c r="T91" s="4">
        <v>11.262851071813078</v>
      </c>
      <c r="U91" s="4">
        <v>10.287432352267516</v>
      </c>
      <c r="V91" s="4">
        <v>9.3120136327219534</v>
      </c>
      <c r="W91" s="4">
        <v>8.3365949131763912</v>
      </c>
      <c r="X91" s="4">
        <v>7.3611761936308282</v>
      </c>
      <c r="Y91" s="4">
        <v>7.3857574740852625</v>
      </c>
      <c r="Z91" s="4">
        <v>6.4771392145343327</v>
      </c>
      <c r="AA91" s="4">
        <f>[43]Alfa!$F$16</f>
        <v>0.11706666666666668</v>
      </c>
      <c r="AB91" s="4">
        <v>209</v>
      </c>
      <c r="AC91" s="4">
        <v>21</v>
      </c>
      <c r="AD91" s="4">
        <v>834</v>
      </c>
      <c r="AE91" s="4">
        <v>6.36</v>
      </c>
      <c r="AF91" s="4">
        <v>85</v>
      </c>
    </row>
    <row r="92" spans="1:32" x14ac:dyDescent="0.3">
      <c r="A92" s="4">
        <v>23.27621269191728</v>
      </c>
      <c r="B92" s="4" cm="1">
        <f t="array" ref="B92:G92">_xlfn.SEQUENCE(1,6,A92-1,(H92-A92)/6)</f>
        <v>22.27621269191728</v>
      </c>
      <c r="C92" s="4">
        <v>20.290300749586617</v>
      </c>
      <c r="D92" s="4">
        <v>18.304388807255954</v>
      </c>
      <c r="E92" s="4">
        <v>16.318476864925291</v>
      </c>
      <c r="F92" s="4">
        <v>14.332564922594628</v>
      </c>
      <c r="G92" s="4">
        <v>12.346652980263965</v>
      </c>
      <c r="H92" s="4">
        <v>11.360741037933302</v>
      </c>
      <c r="I92" s="4">
        <v>142.44659535860339</v>
      </c>
      <c r="J92" s="4" cm="1">
        <f t="array" ref="J92:O92">_xlfn.SEQUENCE(1,6,I92-1,(P92-I92)/6)</f>
        <v>141.44659535860339</v>
      </c>
      <c r="K92" s="4">
        <v>134.51291329408173</v>
      </c>
      <c r="L92" s="4">
        <v>127.57923122956007</v>
      </c>
      <c r="M92" s="4">
        <v>120.6455491650384</v>
      </c>
      <c r="N92" s="4">
        <v>113.71186710051674</v>
      </c>
      <c r="O92" s="4">
        <v>106.77818503599508</v>
      </c>
      <c r="P92" s="4">
        <v>100.84450297147339</v>
      </c>
      <c r="Q92" s="4">
        <v>94.776535793763742</v>
      </c>
      <c r="R92" s="4">
        <v>14.424092290542957</v>
      </c>
      <c r="S92" s="4" cm="1">
        <f t="array" ref="S92:X92">_xlfn.SEQUENCE(1,6,R92-1,(Y92-R92)/6)</f>
        <v>13.424092290542957</v>
      </c>
      <c r="T92" s="4">
        <v>12.337051771044466</v>
      </c>
      <c r="U92" s="4">
        <v>11.250011251545976</v>
      </c>
      <c r="V92" s="4">
        <v>10.162970732047485</v>
      </c>
      <c r="W92" s="4">
        <v>9.0759302125489949</v>
      </c>
      <c r="X92" s="4">
        <v>7.9888896930505053</v>
      </c>
      <c r="Y92" s="4">
        <v>7.9018491735520175</v>
      </c>
      <c r="Z92" s="4">
        <v>6.8123601308466881</v>
      </c>
      <c r="AA92" s="4">
        <f>[44]Alfa!$F$16</f>
        <v>0.11326666666666665</v>
      </c>
      <c r="AB92" s="4">
        <v>241</v>
      </c>
      <c r="AC92" s="4">
        <v>24</v>
      </c>
      <c r="AD92" s="4">
        <v>960</v>
      </c>
      <c r="AE92" s="4">
        <v>6.7</v>
      </c>
      <c r="AF92" s="4">
        <v>145</v>
      </c>
    </row>
    <row r="93" spans="1:32" x14ac:dyDescent="0.3">
      <c r="A93" s="4">
        <v>27.910307573896379</v>
      </c>
      <c r="B93" s="4" cm="1">
        <f t="array" ref="B93:G93">_xlfn.SEQUENCE(1,6,A93-1,(H93-A93)/6)</f>
        <v>26.910307573896379</v>
      </c>
      <c r="C93" s="4">
        <v>24.70555208837823</v>
      </c>
      <c r="D93" s="4">
        <v>22.500796602860081</v>
      </c>
      <c r="E93" s="4">
        <v>20.296041117341932</v>
      </c>
      <c r="F93" s="4">
        <v>18.091285631823784</v>
      </c>
      <c r="G93" s="4">
        <v>15.886530146305635</v>
      </c>
      <c r="H93" s="4">
        <v>14.681774660787486</v>
      </c>
      <c r="I93" s="4">
        <v>85.017565036517183</v>
      </c>
      <c r="J93" s="4" cm="1">
        <f t="array" ref="J93:O93">_xlfn.SEQUENCE(1,6,I93-1,(P93-I93)/6)</f>
        <v>84.017565036517183</v>
      </c>
      <c r="K93" s="4">
        <v>79.514421628137555</v>
      </c>
      <c r="L93" s="4">
        <v>75.011278219757926</v>
      </c>
      <c r="M93" s="4">
        <v>70.508134811378298</v>
      </c>
      <c r="N93" s="4">
        <v>66.00499140299867</v>
      </c>
      <c r="O93" s="4">
        <v>61.501847994619041</v>
      </c>
      <c r="P93" s="4">
        <v>57.998704586239434</v>
      </c>
      <c r="Q93" s="4">
        <v>55.19674668373775</v>
      </c>
      <c r="R93" s="4">
        <v>17.944871348953921</v>
      </c>
      <c r="S93" s="4" cm="1">
        <f t="array" ref="S93:X93">_xlfn.SEQUENCE(1,6,R93-1,(Y93-R93)/6)</f>
        <v>16.944871348953921</v>
      </c>
      <c r="T93" s="4">
        <v>15.324678905250444</v>
      </c>
      <c r="U93" s="4">
        <v>13.704486461546967</v>
      </c>
      <c r="V93" s="4">
        <v>12.08429401784349</v>
      </c>
      <c r="W93" s="4">
        <v>10.464101574140013</v>
      </c>
      <c r="X93" s="4">
        <v>8.8439091304365363</v>
      </c>
      <c r="Y93" s="4">
        <v>8.2237166867330629</v>
      </c>
      <c r="Z93" s="4">
        <v>6.6518377099048074</v>
      </c>
      <c r="AA93" s="4">
        <f>[45]Alfa!$F$16</f>
        <v>0.10186813186813187</v>
      </c>
      <c r="AB93" s="4">
        <v>132</v>
      </c>
      <c r="AC93" s="4">
        <v>14</v>
      </c>
      <c r="AD93" s="4">
        <v>396</v>
      </c>
      <c r="AE93" s="4">
        <v>6.47</v>
      </c>
      <c r="AF93" s="4">
        <v>85</v>
      </c>
    </row>
    <row r="94" spans="1:32" x14ac:dyDescent="0.3">
      <c r="A94" s="4">
        <v>30.44505194269134</v>
      </c>
      <c r="B94" s="4" cm="1">
        <f t="array" ref="B94:G94">_xlfn.SEQUENCE(1,6,A94-1,(H94-A94)/6)</f>
        <v>29.44505194269134</v>
      </c>
      <c r="C94" s="4">
        <v>26.844728384814694</v>
      </c>
      <c r="D94" s="4">
        <v>24.244404826938048</v>
      </c>
      <c r="E94" s="4">
        <v>21.644081269061402</v>
      </c>
      <c r="F94" s="4">
        <v>19.043757711184757</v>
      </c>
      <c r="G94" s="4">
        <v>16.443434153308111</v>
      </c>
      <c r="H94" s="4">
        <v>14.843110595431458</v>
      </c>
      <c r="I94" s="4">
        <v>143.54459729177728</v>
      </c>
      <c r="J94" s="4" cm="1">
        <f t="array" ref="J94:O94">_xlfn.SEQUENCE(1,6,I94-1,(P94-I94)/6)</f>
        <v>142.54459729177728</v>
      </c>
      <c r="K94" s="4">
        <v>133.9053416416636</v>
      </c>
      <c r="L94" s="4">
        <v>125.2660859915499</v>
      </c>
      <c r="M94" s="4">
        <v>116.6268303414362</v>
      </c>
      <c r="N94" s="4">
        <v>107.98757469132251</v>
      </c>
      <c r="O94" s="4">
        <v>99.348319041208811</v>
      </c>
      <c r="P94" s="4">
        <v>91.709063391095128</v>
      </c>
      <c r="Q94" s="4">
        <v>85.577576567677966</v>
      </c>
      <c r="R94" s="4">
        <v>18.832869693077619</v>
      </c>
      <c r="S94" s="4" cm="1">
        <f t="array" ref="S94:X94">_xlfn.SEQUENCE(1,6,R94-1,(Y94-R94)/6)</f>
        <v>17.832869693077619</v>
      </c>
      <c r="T94" s="4">
        <v>16.086282355375872</v>
      </c>
      <c r="U94" s="4">
        <v>14.339695017674124</v>
      </c>
      <c r="V94" s="4">
        <v>12.593107679972377</v>
      </c>
      <c r="W94" s="4">
        <v>10.84652034227063</v>
      </c>
      <c r="X94" s="4">
        <v>9.0999330045688822</v>
      </c>
      <c r="Y94" s="4">
        <v>8.3533456668671313</v>
      </c>
      <c r="Z94" s="4">
        <v>6.7020880444517097</v>
      </c>
      <c r="AA94" s="4">
        <f>[46]Alfa!$F$16</f>
        <v>8.9076923076923095E-2</v>
      </c>
      <c r="AB94" s="4">
        <v>143</v>
      </c>
      <c r="AC94" s="4">
        <v>14.5</v>
      </c>
      <c r="AD94" s="4">
        <v>432</v>
      </c>
      <c r="AE94" s="4">
        <v>6.49</v>
      </c>
      <c r="AF94" s="4">
        <v>145</v>
      </c>
    </row>
    <row r="95" spans="1:32" x14ac:dyDescent="0.3">
      <c r="A95" s="4">
        <v>16.691959373743355</v>
      </c>
      <c r="B95" s="4" cm="1">
        <f t="array" ref="B95:G95">_xlfn.SEQUENCE(1,6,A95-1,(H95-A95)/6)</f>
        <v>15.691959373743355</v>
      </c>
      <c r="C95" s="4">
        <v>14.500982323270188</v>
      </c>
      <c r="D95" s="4">
        <v>13.310005272797021</v>
      </c>
      <c r="E95" s="4">
        <v>12.119028222323854</v>
      </c>
      <c r="F95" s="4">
        <v>10.928051171850687</v>
      </c>
      <c r="G95" s="4">
        <v>9.7370741213775194</v>
      </c>
      <c r="H95" s="4">
        <v>9.5460970709043558</v>
      </c>
      <c r="I95" s="4">
        <v>84.395899225358093</v>
      </c>
      <c r="J95" s="4" cm="1">
        <f t="array" ref="J95:O95">_xlfn.SEQUENCE(1,6,I95-1,(P95-I95)/6)</f>
        <v>83.395899225358093</v>
      </c>
      <c r="K95" s="4">
        <v>80.078120849911826</v>
      </c>
      <c r="L95" s="4">
        <v>76.76034247446556</v>
      </c>
      <c r="M95" s="4">
        <v>73.442564099019293</v>
      </c>
      <c r="N95" s="4">
        <v>70.124785723573027</v>
      </c>
      <c r="O95" s="4">
        <v>66.80700734812676</v>
      </c>
      <c r="P95" s="4">
        <v>64.489228972680479</v>
      </c>
      <c r="Q95" s="4">
        <v>62.601543588396133</v>
      </c>
      <c r="R95" s="4">
        <v>11.071251906971519</v>
      </c>
      <c r="S95" s="4" cm="1">
        <f t="array" ref="S95:X95">_xlfn.SEQUENCE(1,6,R95-1,(Y95-R95)/6)</f>
        <v>10.071251906971519</v>
      </c>
      <c r="T95" s="4">
        <v>9.4269738194703407</v>
      </c>
      <c r="U95" s="4">
        <v>8.782695731969163</v>
      </c>
      <c r="V95" s="4">
        <v>8.1384176444679852</v>
      </c>
      <c r="W95" s="4">
        <v>7.4941395569668066</v>
      </c>
      <c r="X95" s="4">
        <v>6.8498614694656279</v>
      </c>
      <c r="Y95" s="4">
        <v>7.2055833819644484</v>
      </c>
      <c r="Z95" s="4">
        <v>6.56825665065608</v>
      </c>
      <c r="AA95" s="4">
        <f>[47]Alfa!$F$16</f>
        <v>0.13538121546961326</v>
      </c>
      <c r="AB95" s="4">
        <v>415</v>
      </c>
      <c r="AC95" s="4">
        <v>41.5</v>
      </c>
      <c r="AD95" s="4">
        <v>1635</v>
      </c>
      <c r="AE95" s="4">
        <v>6.48</v>
      </c>
      <c r="AF95" s="4">
        <v>85</v>
      </c>
    </row>
    <row r="96" spans="1:32" x14ac:dyDescent="0.3">
      <c r="A96" s="4">
        <v>34.333482450718805</v>
      </c>
      <c r="B96" s="4" cm="1">
        <f t="array" ref="B96:G96">_xlfn.SEQUENCE(1,6,A96-1,(H96-A96)/6)</f>
        <v>33.333482450718805</v>
      </c>
      <c r="C96" s="4">
        <v>30.435397097203211</v>
      </c>
      <c r="D96" s="4">
        <v>27.537311743687617</v>
      </c>
      <c r="E96" s="4">
        <v>24.639226390172023</v>
      </c>
      <c r="F96" s="4">
        <v>21.74114103665643</v>
      </c>
      <c r="G96" s="4">
        <v>18.843055683140836</v>
      </c>
      <c r="H96" s="4">
        <v>16.944970329625242</v>
      </c>
      <c r="I96" s="4">
        <v>205.22475761438156</v>
      </c>
      <c r="J96" s="4" cm="1">
        <f t="array" ref="J96:O96">_xlfn.SEQUENCE(1,6,I96-1,(P96-I96)/6)</f>
        <v>204.22475761438156</v>
      </c>
      <c r="K96" s="4">
        <v>191.52947679783955</v>
      </c>
      <c r="L96" s="4">
        <v>178.83419598129754</v>
      </c>
      <c r="M96" s="4">
        <v>166.13891516475553</v>
      </c>
      <c r="N96" s="4">
        <v>153.44363434821352</v>
      </c>
      <c r="O96" s="4">
        <v>140.74835353167151</v>
      </c>
      <c r="P96" s="4">
        <v>129.05307271512947</v>
      </c>
      <c r="Q96" s="4">
        <v>120.42143786262113</v>
      </c>
      <c r="R96" s="4">
        <v>20.747460001544162</v>
      </c>
      <c r="S96" s="4" cm="1">
        <f t="array" ref="S96:X96">_xlfn.SEQUENCE(1,6,R96-1,(Y96-R96)/6)</f>
        <v>19.747460001544162</v>
      </c>
      <c r="T96" s="4">
        <v>17.699194082674751</v>
      </c>
      <c r="U96" s="4">
        <v>15.650928163805341</v>
      </c>
      <c r="V96" s="4">
        <v>13.602662244935932</v>
      </c>
      <c r="W96" s="4">
        <v>11.554396326066522</v>
      </c>
      <c r="X96" s="4">
        <v>9.5061304071971122</v>
      </c>
      <c r="Y96" s="4">
        <v>8.4578644883277008</v>
      </c>
      <c r="Z96" s="4">
        <v>6.6171975626688102</v>
      </c>
      <c r="AA96" s="4">
        <f>[48]Alfa!$F$16</f>
        <v>9.1027624309392277E-2</v>
      </c>
      <c r="AB96" s="4">
        <v>157</v>
      </c>
      <c r="AC96" s="4">
        <v>15.5</v>
      </c>
      <c r="AD96" s="4">
        <v>471</v>
      </c>
      <c r="AE96" s="4">
        <v>6.4</v>
      </c>
      <c r="AF96" s="4">
        <v>205</v>
      </c>
    </row>
    <row r="97" spans="1:32" x14ac:dyDescent="0.3">
      <c r="A97" s="4">
        <v>31.192112785667053</v>
      </c>
      <c r="B97" s="4" cm="1">
        <f t="array" ref="B97:G97">_xlfn.SEQUENCE(1,6,A97-1,(H97-A97)/6)</f>
        <v>30.192112785667053</v>
      </c>
      <c r="C97" s="4">
        <v>27.49256666728358</v>
      </c>
      <c r="D97" s="4">
        <v>24.793020548900106</v>
      </c>
      <c r="E97" s="4">
        <v>22.093474430516633</v>
      </c>
      <c r="F97" s="4">
        <v>19.393928312133159</v>
      </c>
      <c r="G97" s="4">
        <v>16.694382193749686</v>
      </c>
      <c r="H97" s="4">
        <v>14.994836075366205</v>
      </c>
      <c r="I97" s="4">
        <v>204.79912890993796</v>
      </c>
      <c r="J97" s="4" cm="1">
        <f t="array" ref="J97:O97">_xlfn.SEQUENCE(1,6,I97-1,(P97-I97)/6)</f>
        <v>203.79912890993796</v>
      </c>
      <c r="K97" s="4">
        <v>193.29624818765456</v>
      </c>
      <c r="L97" s="4">
        <v>182.79336746537115</v>
      </c>
      <c r="M97" s="4">
        <v>172.29048674308774</v>
      </c>
      <c r="N97" s="4">
        <v>161.78760602080433</v>
      </c>
      <c r="O97" s="4">
        <v>151.28472529852093</v>
      </c>
      <c r="P97" s="4">
        <v>141.78184457623743</v>
      </c>
      <c r="Q97" s="4">
        <v>134.16911185247656</v>
      </c>
      <c r="R97" s="4">
        <v>18.491212366830894</v>
      </c>
      <c r="S97" s="4" cm="1">
        <f t="array" ref="S97:X97">_xlfn.SEQUENCE(1,6,R97-1,(Y97-R97)/6)</f>
        <v>17.491212366830894</v>
      </c>
      <c r="T97" s="4">
        <v>15.769823167854122</v>
      </c>
      <c r="U97" s="4">
        <v>14.048433968877351</v>
      </c>
      <c r="V97" s="4">
        <v>12.32704476990058</v>
      </c>
      <c r="W97" s="4">
        <v>10.605655570923808</v>
      </c>
      <c r="X97" s="4">
        <v>8.8842663719470369</v>
      </c>
      <c r="Y97" s="4">
        <v>8.1628771729702621</v>
      </c>
      <c r="Z97" s="4">
        <v>6.6463620018135607</v>
      </c>
      <c r="AA97" s="4">
        <f>[49]Alfa!$F$16</f>
        <v>9.7466666666666674E-2</v>
      </c>
      <c r="AB97" s="4">
        <v>261</v>
      </c>
      <c r="AC97" s="4">
        <v>26</v>
      </c>
      <c r="AD97" s="4">
        <v>774</v>
      </c>
      <c r="AE97" s="4">
        <v>6.48</v>
      </c>
      <c r="AF97" s="4">
        <v>205</v>
      </c>
    </row>
    <row r="98" spans="1:32" x14ac:dyDescent="0.3">
      <c r="A98" s="4">
        <v>25.152056508806073</v>
      </c>
      <c r="B98" s="4" cm="1">
        <f t="array" ref="B98:G98">_xlfn.SEQUENCE(1,6,A98-1,(H98-A98)/6)</f>
        <v>24.152056508806073</v>
      </c>
      <c r="C98" s="4">
        <v>22.138485365342355</v>
      </c>
      <c r="D98" s="4">
        <v>20.124914221878637</v>
      </c>
      <c r="E98" s="4">
        <v>18.111343078414919</v>
      </c>
      <c r="F98" s="4">
        <v>16.097771934951201</v>
      </c>
      <c r="G98" s="4">
        <v>14.084200791487484</v>
      </c>
      <c r="H98" s="4">
        <v>13.070629648023772</v>
      </c>
      <c r="I98" s="4">
        <v>84.978498096739074</v>
      </c>
      <c r="J98" s="4" cm="1">
        <f t="array" ref="J98:O98">_xlfn.SEQUENCE(1,6,I98-1,(P98-I98)/6)</f>
        <v>83.978498096739074</v>
      </c>
      <c r="K98" s="4">
        <v>80.182348908070836</v>
      </c>
      <c r="L98" s="4">
        <v>76.386199719402597</v>
      </c>
      <c r="M98" s="4">
        <v>72.590050530734359</v>
      </c>
      <c r="N98" s="4">
        <v>68.793901342066121</v>
      </c>
      <c r="O98" s="4">
        <v>64.997752153397883</v>
      </c>
      <c r="P98" s="4">
        <v>62.201602964729659</v>
      </c>
      <c r="Q98" s="4">
        <v>59.441648220599234</v>
      </c>
      <c r="R98" s="4">
        <v>15.400792074267809</v>
      </c>
      <c r="S98" s="4" cm="1">
        <f t="array" ref="S98:X98">_xlfn.SEQUENCE(1,6,R98-1,(Y98-R98)/6)</f>
        <v>14.400792074267809</v>
      </c>
      <c r="T98" s="4">
        <v>13.062194639084895</v>
      </c>
      <c r="U98" s="4">
        <v>11.723597203901981</v>
      </c>
      <c r="V98" s="4">
        <v>10.384999768719068</v>
      </c>
      <c r="W98" s="4">
        <v>9.0464023335361539</v>
      </c>
      <c r="X98" s="4">
        <v>7.7078048983532392</v>
      </c>
      <c r="Y98" s="4">
        <v>7.3692074631703228</v>
      </c>
      <c r="Z98" s="4">
        <v>6.1607371092026231</v>
      </c>
      <c r="AA98" s="4">
        <f>[50]Alfa!$F$16</f>
        <v>0.11966666666666667</v>
      </c>
      <c r="AB98" s="4">
        <v>209</v>
      </c>
      <c r="AC98" s="4">
        <v>21</v>
      </c>
      <c r="AD98" s="4">
        <v>627</v>
      </c>
      <c r="AE98" s="4">
        <v>6.03</v>
      </c>
      <c r="AF98" s="4">
        <v>85</v>
      </c>
    </row>
    <row r="99" spans="1:32" x14ac:dyDescent="0.3">
      <c r="A99" s="4">
        <v>27.173845115887655</v>
      </c>
      <c r="B99" s="4" cm="1">
        <f t="array" ref="B99:G99">_xlfn.SEQUENCE(1,6,A99-1,(H99-A99)/6)</f>
        <v>26.173845115887655</v>
      </c>
      <c r="C99" s="4">
        <v>23.69855916683472</v>
      </c>
      <c r="D99" s="4">
        <v>21.223273217781781</v>
      </c>
      <c r="E99" s="4">
        <v>18.747987268728842</v>
      </c>
      <c r="F99" s="4">
        <v>16.272701319675903</v>
      </c>
      <c r="G99" s="4">
        <v>13.797415370622966</v>
      </c>
      <c r="H99" s="4">
        <v>12.322129421570033</v>
      </c>
      <c r="I99" s="4">
        <v>144.19368635068756</v>
      </c>
      <c r="J99" s="4" cm="1">
        <f t="array" ref="J99:O99">_xlfn.SEQUENCE(1,6,I99-1,(P99-I99)/6)</f>
        <v>143.19368635068756</v>
      </c>
      <c r="K99" s="4">
        <v>136.10417604357809</v>
      </c>
      <c r="L99" s="4">
        <v>129.01466573646863</v>
      </c>
      <c r="M99" s="4">
        <v>121.92515542935915</v>
      </c>
      <c r="N99" s="4">
        <v>114.83564512224967</v>
      </c>
      <c r="O99" s="4">
        <v>107.74613481514019</v>
      </c>
      <c r="P99" s="4">
        <v>101.6566245080307</v>
      </c>
      <c r="Q99" s="4">
        <v>95.605171553098145</v>
      </c>
      <c r="R99" s="4">
        <v>16.464157023627731</v>
      </c>
      <c r="S99" s="4" cm="1">
        <f t="array" ref="S99:X99">_xlfn.SEQUENCE(1,6,R99-1,(Y99-R99)/6)</f>
        <v>15.464157023627731</v>
      </c>
      <c r="T99" s="4">
        <v>14.023107217562423</v>
      </c>
      <c r="U99" s="4">
        <v>12.582057411497114</v>
      </c>
      <c r="V99" s="4">
        <v>11.141007605431806</v>
      </c>
      <c r="W99" s="4">
        <v>9.6999577993664978</v>
      </c>
      <c r="X99" s="4">
        <v>8.2589079933011895</v>
      </c>
      <c r="Y99" s="4">
        <v>7.8178581872358777</v>
      </c>
      <c r="Z99" s="4">
        <v>6.532615422470224</v>
      </c>
      <c r="AA99" s="4">
        <f>[51]Alfa!$F$16</f>
        <v>0.11211049723756907</v>
      </c>
      <c r="AB99" s="4">
        <v>243</v>
      </c>
      <c r="AC99" s="4">
        <v>24</v>
      </c>
      <c r="AD99" s="4">
        <v>726</v>
      </c>
      <c r="AE99" s="4">
        <v>6.39</v>
      </c>
      <c r="AF99" s="4">
        <v>145</v>
      </c>
    </row>
    <row r="100" spans="1:32" x14ac:dyDescent="0.3">
      <c r="A100" s="4">
        <v>19.178097813118921</v>
      </c>
      <c r="B100" s="4" cm="1">
        <f t="array" ref="B100:G100">_xlfn.SEQUENCE(1,6,A100-1,(H100-A100)/6)</f>
        <v>18.178097813118921</v>
      </c>
      <c r="C100" s="4">
        <v>16.865046757954055</v>
      </c>
      <c r="D100" s="4">
        <v>15.55199570278919</v>
      </c>
      <c r="E100" s="4">
        <v>14.238944647624326</v>
      </c>
      <c r="F100" s="4">
        <v>12.925893592459461</v>
      </c>
      <c r="G100" s="4">
        <v>11.612842537294597</v>
      </c>
      <c r="H100" s="4">
        <v>11.299791482129734</v>
      </c>
      <c r="I100" s="4">
        <v>84.314948086133271</v>
      </c>
      <c r="J100" s="4" cm="1">
        <f t="array" ref="J100:O100">_xlfn.SEQUENCE(1,6,I100-1,(P100-I100)/6)</f>
        <v>83.314948086133271</v>
      </c>
      <c r="K100" s="4">
        <v>80.200144974865012</v>
      </c>
      <c r="L100" s="4">
        <v>77.085341863596753</v>
      </c>
      <c r="M100" s="4">
        <v>73.970538752328494</v>
      </c>
      <c r="N100" s="4">
        <v>70.855735641060235</v>
      </c>
      <c r="O100" s="4">
        <v>67.740932529791976</v>
      </c>
      <c r="P100" s="4">
        <v>65.626129418523718</v>
      </c>
      <c r="Q100" s="4">
        <v>63.168044915790155</v>
      </c>
      <c r="R100" s="4">
        <v>12.501704000793824</v>
      </c>
      <c r="S100" s="4" cm="1">
        <f t="array" ref="S100:X100">_xlfn.SEQUENCE(1,6,R100-1,(Y100-R100)/6)</f>
        <v>11.501704000793824</v>
      </c>
      <c r="T100" s="4">
        <v>10.640982852216558</v>
      </c>
      <c r="U100" s="4">
        <v>9.780261703639292</v>
      </c>
      <c r="V100" s="4">
        <v>8.9195405550620261</v>
      </c>
      <c r="W100" s="4">
        <v>8.0588194064847603</v>
      </c>
      <c r="X100" s="4">
        <v>7.1980982579074944</v>
      </c>
      <c r="Y100" s="4">
        <v>7.3373771093302267</v>
      </c>
      <c r="Z100" s="4">
        <v>6.4402481937944831</v>
      </c>
      <c r="AA100" s="4">
        <f>[52]Alfa!$F$16</f>
        <v>0.12706666666666669</v>
      </c>
      <c r="AB100" s="4">
        <v>414</v>
      </c>
      <c r="AC100" s="4">
        <v>41.5</v>
      </c>
      <c r="AD100" s="4">
        <v>1239</v>
      </c>
      <c r="AE100" s="4">
        <v>6.35</v>
      </c>
      <c r="AF100" s="4">
        <v>85</v>
      </c>
    </row>
    <row r="101" spans="1:32" x14ac:dyDescent="0.3">
      <c r="A101" s="4">
        <v>22.096094849028773</v>
      </c>
      <c r="B101" s="4" cm="1">
        <f t="array" ref="B101:G101">_xlfn.SEQUENCE(1,6,A101-1,(H101-A101)/6)</f>
        <v>21.096094849028773</v>
      </c>
      <c r="C101" s="4">
        <v>19.260269578418114</v>
      </c>
      <c r="D101" s="4">
        <v>17.424444307807455</v>
      </c>
      <c r="E101" s="4">
        <v>15.588619037196798</v>
      </c>
      <c r="F101" s="4">
        <v>13.752793766586141</v>
      </c>
      <c r="G101" s="4">
        <v>11.916968495975484</v>
      </c>
      <c r="H101" s="4">
        <v>11.081143225364826</v>
      </c>
      <c r="I101" s="4">
        <v>144.22595353141512</v>
      </c>
      <c r="J101" s="4" cm="1">
        <f t="array" ref="J101:O101">_xlfn.SEQUENCE(1,6,I101-1,(P101-I101)/6)</f>
        <v>143.22595353141512</v>
      </c>
      <c r="K101" s="4">
        <v>137.4200385523647</v>
      </c>
      <c r="L101" s="4">
        <v>131.61412357331429</v>
      </c>
      <c r="M101" s="4">
        <v>125.80820859426387</v>
      </c>
      <c r="N101" s="4">
        <v>120.00229361521346</v>
      </c>
      <c r="O101" s="4">
        <v>114.19637863616305</v>
      </c>
      <c r="P101" s="4">
        <v>109.39046365711268</v>
      </c>
      <c r="Q101" s="4">
        <v>105.2282054419624</v>
      </c>
      <c r="R101" s="4">
        <v>13.634227223117454</v>
      </c>
      <c r="S101" s="4" cm="1">
        <f t="array" ref="S101:X101">_xlfn.SEQUENCE(1,6,R101-1,(Y101-R101)/6)</f>
        <v>12.634227223117454</v>
      </c>
      <c r="T101" s="4">
        <v>11.612883435474188</v>
      </c>
      <c r="U101" s="4">
        <v>10.591539647830922</v>
      </c>
      <c r="V101" s="4">
        <v>9.5701958601876562</v>
      </c>
      <c r="W101" s="4">
        <v>8.5488520725443902</v>
      </c>
      <c r="X101" s="4">
        <v>7.527508284901125</v>
      </c>
      <c r="Y101" s="4">
        <v>7.5061644972578616</v>
      </c>
      <c r="Z101" s="4">
        <v>6.4569224914380836</v>
      </c>
      <c r="AA101" s="4">
        <f>[53]Alfa!$F$16</f>
        <v>0.14386740331491712</v>
      </c>
      <c r="AB101" s="4">
        <v>477</v>
      </c>
      <c r="AC101" s="4">
        <v>47</v>
      </c>
      <c r="AD101" s="4">
        <v>1434</v>
      </c>
      <c r="AE101" s="4">
        <v>6.32</v>
      </c>
      <c r="AF101" s="4">
        <v>145</v>
      </c>
    </row>
    <row r="102" spans="1:32" x14ac:dyDescent="0.3">
      <c r="A102" s="4">
        <v>25.049384145436591</v>
      </c>
      <c r="B102" s="4" cm="1">
        <f t="array" ref="B102:G102">_xlfn.SEQUENCE(1,6,A102-1,(H102-A102)/6)</f>
        <v>24.049384145436591</v>
      </c>
      <c r="C102" s="4">
        <v>22.081697554127238</v>
      </c>
      <c r="D102" s="4">
        <v>20.114010962817886</v>
      </c>
      <c r="E102" s="4">
        <v>18.146324371508534</v>
      </c>
      <c r="F102" s="4">
        <v>16.178637780199182</v>
      </c>
      <c r="G102" s="4">
        <v>14.21095118888983</v>
      </c>
      <c r="H102" s="4">
        <v>13.243264597580476</v>
      </c>
      <c r="I102" s="4">
        <v>205.41591166010463</v>
      </c>
      <c r="J102" s="4" cm="1">
        <f t="array" ref="J102:O102">_xlfn.SEQUENCE(1,6,I102-1,(P102-I102)/6)</f>
        <v>204.41591166010463</v>
      </c>
      <c r="K102" s="4">
        <v>195.90915085191025</v>
      </c>
      <c r="L102" s="4">
        <v>187.40239004371588</v>
      </c>
      <c r="M102" s="4">
        <v>178.89562923552151</v>
      </c>
      <c r="N102" s="4">
        <v>170.38886842732714</v>
      </c>
      <c r="O102" s="4">
        <v>161.88210761913277</v>
      </c>
      <c r="P102" s="4">
        <v>154.37534681093837</v>
      </c>
      <c r="Q102" s="4">
        <v>147.87384657476744</v>
      </c>
      <c r="R102" s="4">
        <v>15.064668656392154</v>
      </c>
      <c r="S102" s="4" cm="1">
        <f t="array" ref="S102:X102">_xlfn.SEQUENCE(1,6,R102-1,(Y102-R102)/6)</f>
        <v>14.064668656392154</v>
      </c>
      <c r="T102" s="4">
        <v>12.88926214722742</v>
      </c>
      <c r="U102" s="4">
        <v>11.713855638062686</v>
      </c>
      <c r="V102" s="4">
        <v>10.538449128897952</v>
      </c>
      <c r="W102" s="4">
        <v>9.3630426197332177</v>
      </c>
      <c r="X102" s="4">
        <v>8.1876361105684836</v>
      </c>
      <c r="Y102" s="4">
        <v>8.0122296014037495</v>
      </c>
      <c r="Z102" s="4">
        <v>6.7599495353405992</v>
      </c>
      <c r="AA102" s="4">
        <f>[54]Alfa!$F$16</f>
        <v>0.13730386740331493</v>
      </c>
      <c r="AB102" s="4">
        <v>524</v>
      </c>
      <c r="AC102" s="4">
        <v>53</v>
      </c>
      <c r="AD102" s="4">
        <v>1575</v>
      </c>
      <c r="AE102" s="4">
        <v>6.6</v>
      </c>
      <c r="AF102" s="4">
        <v>205</v>
      </c>
    </row>
  </sheetData>
  <phoneticPr fontId="7" type="noConversion"/>
  <conditionalFormatting sqref="AA2:AA102">
    <cfRule type="cellIs" dxfId="0" priority="1" operator="equal">
      <formula>$DI$50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Mohab Maher Mahmoud Elsayed Salem</dc:creator>
  <cp:lastModifiedBy>Mohab Maher Mahmoud Elsayed Salem</cp:lastModifiedBy>
  <dcterms:created xsi:type="dcterms:W3CDTF">2026-04-20T11:35:33Z</dcterms:created>
  <dcterms:modified xsi:type="dcterms:W3CDTF">2026-04-20T12:36:35Z</dcterms:modified>
</cp:coreProperties>
</file>